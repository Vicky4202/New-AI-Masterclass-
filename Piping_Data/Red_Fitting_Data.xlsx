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ld Desktop Backup\E drive\EED_2025\Cost Estimation\PMS_webapp\Piping_Data\"/>
    </mc:Choice>
  </mc:AlternateContent>
  <xr:revisionPtr revIDLastSave="0" documentId="13_ncr:1_{CB49D191-4AAC-4FE1-BDD5-149B708C4525}" xr6:coauthVersionLast="47" xr6:coauthVersionMax="47" xr10:uidLastSave="{00000000-0000-0000-0000-000000000000}"/>
  <bookViews>
    <workbookView xWindow="20" yWindow="110" windowWidth="19180" windowHeight="9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6" i="1" l="1"/>
  <c r="J276" i="1"/>
  <c r="I276" i="1"/>
  <c r="H276" i="1"/>
  <c r="G276" i="1"/>
  <c r="L275" i="1"/>
  <c r="J275" i="1"/>
  <c r="I275" i="1"/>
  <c r="H275" i="1"/>
  <c r="G275" i="1"/>
  <c r="L274" i="1"/>
  <c r="J274" i="1"/>
  <c r="I274" i="1"/>
  <c r="H274" i="1"/>
  <c r="G274" i="1"/>
  <c r="L273" i="1"/>
  <c r="J273" i="1"/>
  <c r="I273" i="1"/>
  <c r="H273" i="1"/>
  <c r="G273" i="1"/>
  <c r="L272" i="1"/>
  <c r="J272" i="1"/>
  <c r="I272" i="1"/>
  <c r="H272" i="1"/>
  <c r="G272" i="1"/>
  <c r="L271" i="1"/>
  <c r="J271" i="1"/>
  <c r="I271" i="1"/>
  <c r="H271" i="1"/>
  <c r="G271" i="1"/>
  <c r="L270" i="1"/>
  <c r="J270" i="1"/>
  <c r="I270" i="1"/>
  <c r="H270" i="1"/>
  <c r="G270" i="1"/>
  <c r="L269" i="1"/>
  <c r="J269" i="1"/>
  <c r="I269" i="1"/>
  <c r="H269" i="1"/>
  <c r="G269" i="1"/>
  <c r="L268" i="1"/>
  <c r="J268" i="1"/>
  <c r="I268" i="1"/>
  <c r="H268" i="1"/>
  <c r="G268" i="1"/>
  <c r="L267" i="1"/>
  <c r="J267" i="1"/>
  <c r="I267" i="1"/>
  <c r="H267" i="1"/>
  <c r="G267" i="1"/>
  <c r="L266" i="1"/>
  <c r="J266" i="1"/>
  <c r="I266" i="1"/>
  <c r="H266" i="1"/>
  <c r="G266" i="1"/>
  <c r="L265" i="1"/>
  <c r="J265" i="1"/>
  <c r="I265" i="1"/>
  <c r="H265" i="1"/>
  <c r="G265" i="1"/>
  <c r="L264" i="1"/>
  <c r="J264" i="1"/>
  <c r="I264" i="1"/>
  <c r="H264" i="1"/>
  <c r="G264" i="1"/>
  <c r="L263" i="1"/>
  <c r="J263" i="1"/>
  <c r="I263" i="1"/>
  <c r="H263" i="1"/>
  <c r="G263" i="1"/>
  <c r="L262" i="1"/>
  <c r="J262" i="1"/>
  <c r="I262" i="1"/>
  <c r="H262" i="1"/>
  <c r="G262" i="1"/>
  <c r="L261" i="1"/>
  <c r="J261" i="1"/>
  <c r="I261" i="1"/>
  <c r="H261" i="1"/>
  <c r="G261" i="1"/>
  <c r="L260" i="1"/>
  <c r="J260" i="1"/>
  <c r="I260" i="1"/>
  <c r="H260" i="1"/>
  <c r="G260" i="1"/>
  <c r="L259" i="1"/>
  <c r="J259" i="1"/>
  <c r="I259" i="1"/>
  <c r="H259" i="1"/>
  <c r="G259" i="1"/>
  <c r="L258" i="1"/>
  <c r="J258" i="1"/>
  <c r="I258" i="1"/>
  <c r="H258" i="1"/>
  <c r="G258" i="1"/>
  <c r="L257" i="1"/>
  <c r="J257" i="1"/>
  <c r="I257" i="1"/>
  <c r="H257" i="1"/>
  <c r="G257" i="1"/>
  <c r="L256" i="1"/>
  <c r="J256" i="1"/>
  <c r="I256" i="1"/>
  <c r="H256" i="1"/>
  <c r="G256" i="1"/>
  <c r="L255" i="1"/>
  <c r="J255" i="1"/>
  <c r="I255" i="1"/>
  <c r="H255" i="1"/>
  <c r="G255" i="1"/>
  <c r="L254" i="1"/>
  <c r="J254" i="1"/>
  <c r="I254" i="1"/>
  <c r="H254" i="1"/>
  <c r="G254" i="1"/>
  <c r="L253" i="1"/>
  <c r="J253" i="1"/>
  <c r="I253" i="1"/>
  <c r="H253" i="1"/>
  <c r="G253" i="1"/>
  <c r="L252" i="1"/>
  <c r="J252" i="1"/>
  <c r="I252" i="1"/>
  <c r="H252" i="1"/>
  <c r="G252" i="1"/>
  <c r="L251" i="1"/>
  <c r="J251" i="1"/>
  <c r="I251" i="1"/>
  <c r="H251" i="1"/>
  <c r="G251" i="1"/>
  <c r="L250" i="1"/>
  <c r="J250" i="1"/>
  <c r="I250" i="1"/>
  <c r="H250" i="1"/>
  <c r="G250" i="1"/>
  <c r="L249" i="1"/>
  <c r="J249" i="1"/>
  <c r="I249" i="1"/>
  <c r="H249" i="1"/>
  <c r="G249" i="1"/>
  <c r="L248" i="1"/>
  <c r="J248" i="1"/>
  <c r="I248" i="1"/>
  <c r="H248" i="1"/>
  <c r="G248" i="1"/>
  <c r="L247" i="1"/>
  <c r="J247" i="1"/>
  <c r="I247" i="1"/>
  <c r="H247" i="1"/>
  <c r="G247" i="1"/>
  <c r="L246" i="1"/>
  <c r="J246" i="1"/>
  <c r="I246" i="1"/>
  <c r="H246" i="1"/>
  <c r="G246" i="1"/>
  <c r="L245" i="1"/>
  <c r="J245" i="1"/>
  <c r="I245" i="1"/>
  <c r="H245" i="1"/>
  <c r="G245" i="1"/>
  <c r="L244" i="1"/>
  <c r="J244" i="1"/>
  <c r="I244" i="1"/>
  <c r="H244" i="1"/>
  <c r="G244" i="1"/>
  <c r="L243" i="1"/>
  <c r="J243" i="1"/>
  <c r="I243" i="1"/>
  <c r="H243" i="1"/>
  <c r="G243" i="1"/>
  <c r="L242" i="1"/>
  <c r="J242" i="1"/>
  <c r="I242" i="1"/>
  <c r="H242" i="1"/>
  <c r="G242" i="1"/>
  <c r="L241" i="1"/>
  <c r="J241" i="1"/>
  <c r="I241" i="1"/>
  <c r="H241" i="1"/>
  <c r="G241" i="1"/>
  <c r="L240" i="1"/>
  <c r="J240" i="1"/>
  <c r="I240" i="1"/>
  <c r="H240" i="1"/>
  <c r="G240" i="1"/>
  <c r="L239" i="1"/>
  <c r="J239" i="1"/>
  <c r="I239" i="1"/>
  <c r="H239" i="1"/>
  <c r="G239" i="1"/>
  <c r="L238" i="1"/>
  <c r="J238" i="1"/>
  <c r="I238" i="1"/>
  <c r="H238" i="1"/>
  <c r="G238" i="1"/>
  <c r="L237" i="1"/>
  <c r="J237" i="1"/>
  <c r="I237" i="1"/>
  <c r="H237" i="1"/>
  <c r="G237" i="1"/>
  <c r="L236" i="1"/>
  <c r="J236" i="1"/>
  <c r="I236" i="1"/>
  <c r="H236" i="1"/>
  <c r="G236" i="1"/>
  <c r="L235" i="1"/>
  <c r="J235" i="1"/>
  <c r="I235" i="1"/>
  <c r="H235" i="1"/>
  <c r="G235" i="1"/>
  <c r="L234" i="1"/>
  <c r="J234" i="1"/>
  <c r="I234" i="1"/>
  <c r="H234" i="1"/>
  <c r="G234" i="1"/>
  <c r="L233" i="1"/>
  <c r="J233" i="1"/>
  <c r="I233" i="1"/>
  <c r="H233" i="1"/>
  <c r="G233" i="1"/>
  <c r="L232" i="1"/>
  <c r="J232" i="1"/>
  <c r="I232" i="1"/>
  <c r="H232" i="1"/>
  <c r="G232" i="1"/>
  <c r="L231" i="1"/>
  <c r="J231" i="1"/>
  <c r="I231" i="1"/>
  <c r="H231" i="1"/>
  <c r="G231" i="1"/>
  <c r="L230" i="1"/>
  <c r="J230" i="1"/>
  <c r="I230" i="1"/>
  <c r="H230" i="1"/>
  <c r="G230" i="1"/>
  <c r="L229" i="1"/>
  <c r="J229" i="1"/>
  <c r="I229" i="1"/>
  <c r="H229" i="1"/>
  <c r="G229" i="1"/>
  <c r="L228" i="1"/>
  <c r="J228" i="1"/>
  <c r="I228" i="1"/>
  <c r="H228" i="1"/>
  <c r="G228" i="1"/>
  <c r="L227" i="1"/>
  <c r="J227" i="1"/>
  <c r="I227" i="1"/>
  <c r="H227" i="1"/>
  <c r="G227" i="1"/>
  <c r="L226" i="1"/>
  <c r="J226" i="1"/>
  <c r="I226" i="1"/>
  <c r="H226" i="1"/>
  <c r="G226" i="1"/>
  <c r="L225" i="1"/>
  <c r="J225" i="1"/>
  <c r="I225" i="1"/>
  <c r="H225" i="1"/>
  <c r="G225" i="1"/>
  <c r="L224" i="1"/>
  <c r="J224" i="1"/>
  <c r="I224" i="1"/>
  <c r="H224" i="1"/>
  <c r="G224" i="1"/>
  <c r="L223" i="1"/>
  <c r="J223" i="1"/>
  <c r="I223" i="1"/>
  <c r="H223" i="1"/>
  <c r="G223" i="1"/>
  <c r="L222" i="1"/>
  <c r="J222" i="1"/>
  <c r="I222" i="1"/>
  <c r="H222" i="1"/>
  <c r="G222" i="1"/>
  <c r="L221" i="1"/>
  <c r="J221" i="1"/>
  <c r="I221" i="1"/>
  <c r="H221" i="1"/>
  <c r="G221" i="1"/>
  <c r="L220" i="1"/>
  <c r="J220" i="1"/>
  <c r="I220" i="1"/>
  <c r="H220" i="1"/>
  <c r="G220" i="1"/>
  <c r="L219" i="1"/>
  <c r="J219" i="1"/>
  <c r="I219" i="1"/>
  <c r="H219" i="1"/>
  <c r="G219" i="1"/>
  <c r="L218" i="1"/>
  <c r="J218" i="1"/>
  <c r="I218" i="1"/>
  <c r="H218" i="1"/>
  <c r="G218" i="1"/>
  <c r="L217" i="1"/>
  <c r="J217" i="1"/>
  <c r="I217" i="1"/>
  <c r="H217" i="1"/>
  <c r="G217" i="1"/>
  <c r="L216" i="1"/>
  <c r="J216" i="1"/>
  <c r="I216" i="1"/>
  <c r="H216" i="1"/>
  <c r="G216" i="1"/>
  <c r="L215" i="1"/>
  <c r="J215" i="1"/>
  <c r="I215" i="1"/>
  <c r="H215" i="1"/>
  <c r="G215" i="1"/>
  <c r="L214" i="1"/>
  <c r="J214" i="1"/>
  <c r="I214" i="1"/>
  <c r="H214" i="1"/>
  <c r="G214" i="1"/>
  <c r="L213" i="1"/>
  <c r="J213" i="1"/>
  <c r="I213" i="1"/>
  <c r="H213" i="1"/>
  <c r="G213" i="1"/>
  <c r="L212" i="1"/>
  <c r="J212" i="1"/>
  <c r="I212" i="1"/>
  <c r="H212" i="1"/>
  <c r="G212" i="1"/>
  <c r="L211" i="1"/>
  <c r="J211" i="1"/>
  <c r="I211" i="1"/>
  <c r="H211" i="1"/>
  <c r="G211" i="1"/>
  <c r="L210" i="1"/>
  <c r="J210" i="1"/>
  <c r="I210" i="1"/>
  <c r="H210" i="1"/>
  <c r="G210" i="1"/>
  <c r="L209" i="1"/>
  <c r="J209" i="1"/>
  <c r="I209" i="1"/>
  <c r="H209" i="1"/>
  <c r="G209" i="1"/>
  <c r="L208" i="1"/>
  <c r="J208" i="1"/>
  <c r="I208" i="1"/>
  <c r="H208" i="1"/>
  <c r="G208" i="1"/>
  <c r="L207" i="1"/>
  <c r="J207" i="1"/>
  <c r="I207" i="1"/>
  <c r="H207" i="1"/>
  <c r="G207" i="1"/>
  <c r="L206" i="1"/>
  <c r="J206" i="1"/>
  <c r="I206" i="1"/>
  <c r="H206" i="1"/>
  <c r="G206" i="1"/>
  <c r="L205" i="1"/>
  <c r="J205" i="1"/>
  <c r="I205" i="1"/>
  <c r="H205" i="1"/>
  <c r="G205" i="1"/>
  <c r="L204" i="1"/>
  <c r="J204" i="1"/>
  <c r="I204" i="1"/>
  <c r="H204" i="1"/>
  <c r="G204" i="1"/>
  <c r="L203" i="1"/>
  <c r="J203" i="1"/>
  <c r="I203" i="1"/>
  <c r="H203" i="1"/>
  <c r="G203" i="1"/>
  <c r="L202" i="1"/>
  <c r="J202" i="1"/>
  <c r="I202" i="1"/>
  <c r="H202" i="1"/>
  <c r="G202" i="1"/>
  <c r="L201" i="1"/>
  <c r="J201" i="1"/>
  <c r="I201" i="1"/>
  <c r="H201" i="1"/>
  <c r="G201" i="1"/>
  <c r="L200" i="1"/>
  <c r="J200" i="1"/>
  <c r="I200" i="1"/>
  <c r="H200" i="1"/>
  <c r="G200" i="1"/>
  <c r="L199" i="1"/>
  <c r="J199" i="1"/>
  <c r="I199" i="1"/>
  <c r="H199" i="1"/>
  <c r="G199" i="1"/>
  <c r="L198" i="1"/>
  <c r="J198" i="1"/>
  <c r="I198" i="1"/>
  <c r="H198" i="1"/>
  <c r="G198" i="1"/>
  <c r="L197" i="1"/>
  <c r="J197" i="1"/>
  <c r="I197" i="1"/>
  <c r="H197" i="1"/>
  <c r="G197" i="1"/>
  <c r="L196" i="1"/>
  <c r="J196" i="1"/>
  <c r="I196" i="1"/>
  <c r="H196" i="1"/>
  <c r="G196" i="1"/>
  <c r="L195" i="1"/>
  <c r="J195" i="1"/>
  <c r="I195" i="1"/>
  <c r="H195" i="1"/>
  <c r="G195" i="1"/>
  <c r="L194" i="1"/>
  <c r="J194" i="1"/>
  <c r="I194" i="1"/>
  <c r="H194" i="1"/>
  <c r="G194" i="1"/>
  <c r="L193" i="1"/>
  <c r="J193" i="1"/>
  <c r="I193" i="1"/>
  <c r="H193" i="1"/>
  <c r="G193" i="1"/>
  <c r="L192" i="1"/>
  <c r="J192" i="1"/>
  <c r="I192" i="1"/>
  <c r="H192" i="1"/>
  <c r="G192" i="1"/>
  <c r="L191" i="1"/>
  <c r="J191" i="1"/>
  <c r="I191" i="1"/>
  <c r="H191" i="1"/>
  <c r="G191" i="1"/>
  <c r="L190" i="1"/>
  <c r="J190" i="1"/>
  <c r="I190" i="1"/>
  <c r="H190" i="1"/>
  <c r="G190" i="1"/>
  <c r="L189" i="1"/>
  <c r="J189" i="1"/>
  <c r="I189" i="1"/>
  <c r="H189" i="1"/>
  <c r="G189" i="1"/>
  <c r="L188" i="1"/>
  <c r="J188" i="1"/>
  <c r="I188" i="1"/>
  <c r="H188" i="1"/>
  <c r="G188" i="1"/>
  <c r="L187" i="1"/>
  <c r="J187" i="1"/>
  <c r="I187" i="1"/>
  <c r="H187" i="1"/>
  <c r="G187" i="1"/>
  <c r="L186" i="1"/>
  <c r="J186" i="1"/>
  <c r="I186" i="1"/>
  <c r="H186" i="1"/>
  <c r="G186" i="1"/>
  <c r="L185" i="1"/>
  <c r="J185" i="1"/>
  <c r="I185" i="1"/>
  <c r="H185" i="1"/>
  <c r="G185" i="1"/>
  <c r="L184" i="1"/>
  <c r="J184" i="1"/>
  <c r="I184" i="1"/>
  <c r="H184" i="1"/>
  <c r="G184" i="1"/>
  <c r="L183" i="1"/>
  <c r="J183" i="1"/>
  <c r="I183" i="1"/>
  <c r="H183" i="1"/>
  <c r="G183" i="1"/>
  <c r="L182" i="1"/>
  <c r="J182" i="1"/>
  <c r="I182" i="1"/>
  <c r="H182" i="1"/>
  <c r="G182" i="1"/>
  <c r="L181" i="1"/>
  <c r="J181" i="1"/>
  <c r="I181" i="1"/>
  <c r="H181" i="1"/>
  <c r="G181" i="1"/>
  <c r="L180" i="1"/>
  <c r="J180" i="1"/>
  <c r="I180" i="1"/>
  <c r="H180" i="1"/>
  <c r="G180" i="1"/>
  <c r="L179" i="1"/>
  <c r="J179" i="1"/>
  <c r="I179" i="1"/>
  <c r="H179" i="1"/>
  <c r="G179" i="1"/>
  <c r="L178" i="1"/>
  <c r="J178" i="1"/>
  <c r="I178" i="1"/>
  <c r="H178" i="1"/>
  <c r="G178" i="1"/>
  <c r="L177" i="1"/>
  <c r="J177" i="1"/>
  <c r="I177" i="1"/>
  <c r="H177" i="1"/>
  <c r="G177" i="1"/>
  <c r="L176" i="1"/>
  <c r="J176" i="1"/>
  <c r="I176" i="1"/>
  <c r="H176" i="1"/>
  <c r="G176" i="1"/>
  <c r="L175" i="1"/>
  <c r="J175" i="1"/>
  <c r="I175" i="1"/>
  <c r="H175" i="1"/>
  <c r="G175" i="1"/>
  <c r="Q171" i="1"/>
  <c r="J171" i="1"/>
  <c r="I171" i="1"/>
  <c r="H171" i="1"/>
  <c r="G171" i="1"/>
  <c r="Q170" i="1"/>
  <c r="J170" i="1"/>
  <c r="I170" i="1"/>
  <c r="H170" i="1"/>
  <c r="G170" i="1"/>
  <c r="Q169" i="1"/>
  <c r="J169" i="1"/>
  <c r="I169" i="1"/>
  <c r="H169" i="1"/>
  <c r="G169" i="1"/>
  <c r="Q168" i="1"/>
  <c r="J168" i="1"/>
  <c r="I168" i="1"/>
  <c r="H168" i="1"/>
  <c r="G168" i="1"/>
  <c r="Q167" i="1"/>
  <c r="J167" i="1"/>
  <c r="I167" i="1"/>
  <c r="H167" i="1"/>
  <c r="G167" i="1"/>
  <c r="Q166" i="1"/>
  <c r="J166" i="1"/>
  <c r="I166" i="1"/>
  <c r="H166" i="1"/>
  <c r="G166" i="1"/>
  <c r="Q165" i="1"/>
  <c r="J165" i="1"/>
  <c r="I165" i="1"/>
  <c r="H165" i="1"/>
  <c r="G165" i="1"/>
  <c r="Q164" i="1"/>
  <c r="J164" i="1"/>
  <c r="I164" i="1"/>
  <c r="H164" i="1"/>
  <c r="G164" i="1"/>
  <c r="Q163" i="1"/>
  <c r="J163" i="1"/>
  <c r="I163" i="1"/>
  <c r="H163" i="1"/>
  <c r="G163" i="1"/>
  <c r="Q162" i="1"/>
  <c r="J162" i="1"/>
  <c r="I162" i="1"/>
  <c r="H162" i="1"/>
  <c r="G162" i="1"/>
  <c r="Q161" i="1"/>
  <c r="J161" i="1"/>
  <c r="I161" i="1"/>
  <c r="H161" i="1"/>
  <c r="G161" i="1"/>
  <c r="Q160" i="1"/>
  <c r="J160" i="1"/>
  <c r="I160" i="1"/>
  <c r="H160" i="1"/>
  <c r="G160" i="1"/>
  <c r="Q159" i="1"/>
  <c r="J159" i="1"/>
  <c r="I159" i="1"/>
  <c r="H159" i="1"/>
  <c r="G159" i="1"/>
  <c r="Q158" i="1"/>
  <c r="J158" i="1"/>
  <c r="I158" i="1"/>
  <c r="H158" i="1"/>
  <c r="G158" i="1"/>
  <c r="Q157" i="1"/>
  <c r="J157" i="1"/>
  <c r="I157" i="1"/>
  <c r="H157" i="1"/>
  <c r="G157" i="1"/>
  <c r="Q156" i="1"/>
  <c r="J156" i="1"/>
  <c r="I156" i="1"/>
  <c r="H156" i="1"/>
  <c r="G156" i="1"/>
  <c r="Q155" i="1"/>
  <c r="J155" i="1"/>
  <c r="I155" i="1"/>
  <c r="H155" i="1"/>
  <c r="G155" i="1"/>
  <c r="Q154" i="1"/>
  <c r="J154" i="1"/>
  <c r="I154" i="1"/>
  <c r="H154" i="1"/>
  <c r="G154" i="1"/>
  <c r="Q153" i="1"/>
  <c r="J153" i="1"/>
  <c r="I153" i="1"/>
  <c r="H153" i="1"/>
  <c r="G153" i="1"/>
  <c r="Q152" i="1"/>
  <c r="J152" i="1"/>
  <c r="I152" i="1"/>
  <c r="H152" i="1"/>
  <c r="G152" i="1"/>
  <c r="Q151" i="1"/>
  <c r="J151" i="1"/>
  <c r="I151" i="1"/>
  <c r="H151" i="1"/>
  <c r="G151" i="1"/>
  <c r="Q150" i="1"/>
  <c r="J150" i="1"/>
  <c r="I150" i="1"/>
  <c r="H150" i="1"/>
  <c r="G150" i="1"/>
  <c r="Q149" i="1"/>
  <c r="J149" i="1"/>
  <c r="I149" i="1"/>
  <c r="H149" i="1"/>
  <c r="G149" i="1"/>
  <c r="Q148" i="1"/>
  <c r="J148" i="1"/>
  <c r="I148" i="1"/>
  <c r="H148" i="1"/>
  <c r="G148" i="1"/>
  <c r="Q147" i="1"/>
  <c r="J147" i="1"/>
  <c r="I147" i="1"/>
  <c r="H147" i="1"/>
  <c r="G147" i="1"/>
  <c r="Q146" i="1"/>
  <c r="J146" i="1"/>
  <c r="I146" i="1"/>
  <c r="H146" i="1"/>
  <c r="G146" i="1"/>
  <c r="Q145" i="1"/>
  <c r="J145" i="1"/>
  <c r="I145" i="1"/>
  <c r="H145" i="1"/>
  <c r="G145" i="1"/>
  <c r="Q144" i="1"/>
  <c r="J144" i="1"/>
  <c r="I144" i="1"/>
  <c r="H144" i="1"/>
  <c r="G144" i="1"/>
  <c r="Q143" i="1"/>
  <c r="J143" i="1"/>
  <c r="I143" i="1"/>
  <c r="H143" i="1"/>
  <c r="G143" i="1"/>
  <c r="Q142" i="1"/>
  <c r="J142" i="1"/>
  <c r="I142" i="1"/>
  <c r="H142" i="1"/>
  <c r="G142" i="1"/>
  <c r="Q141" i="1"/>
  <c r="J141" i="1"/>
  <c r="I141" i="1"/>
  <c r="H141" i="1"/>
  <c r="G141" i="1"/>
  <c r="Q140" i="1"/>
  <c r="J140" i="1"/>
  <c r="I140" i="1"/>
  <c r="H140" i="1"/>
  <c r="G140" i="1"/>
  <c r="Q139" i="1"/>
  <c r="J139" i="1"/>
  <c r="I139" i="1"/>
  <c r="H139" i="1"/>
  <c r="G139" i="1"/>
  <c r="Q138" i="1"/>
  <c r="J138" i="1"/>
  <c r="I138" i="1"/>
  <c r="H138" i="1"/>
  <c r="G138" i="1"/>
  <c r="Q137" i="1"/>
  <c r="J137" i="1"/>
  <c r="I137" i="1"/>
  <c r="H137" i="1"/>
  <c r="G137" i="1"/>
  <c r="Q136" i="1"/>
  <c r="J136" i="1"/>
  <c r="I136" i="1"/>
  <c r="H136" i="1"/>
  <c r="G136" i="1"/>
  <c r="Q135" i="1"/>
  <c r="J135" i="1"/>
  <c r="I135" i="1"/>
  <c r="H135" i="1"/>
  <c r="G135" i="1"/>
  <c r="Q134" i="1"/>
  <c r="J134" i="1"/>
  <c r="I134" i="1"/>
  <c r="H134" i="1"/>
  <c r="G134" i="1"/>
  <c r="Q133" i="1"/>
  <c r="J133" i="1"/>
  <c r="I133" i="1"/>
  <c r="H133" i="1"/>
  <c r="G133" i="1"/>
  <c r="Q132" i="1"/>
  <c r="J132" i="1"/>
  <c r="I132" i="1"/>
  <c r="H132" i="1"/>
  <c r="G132" i="1"/>
  <c r="Q131" i="1"/>
  <c r="J131" i="1"/>
  <c r="I131" i="1"/>
  <c r="H131" i="1"/>
  <c r="G131" i="1"/>
  <c r="Q130" i="1"/>
  <c r="J130" i="1"/>
  <c r="I130" i="1"/>
  <c r="H130" i="1"/>
  <c r="G130" i="1"/>
  <c r="Q129" i="1"/>
  <c r="J129" i="1"/>
  <c r="I129" i="1"/>
  <c r="H129" i="1"/>
  <c r="G129" i="1"/>
  <c r="Q128" i="1"/>
  <c r="J128" i="1"/>
  <c r="I128" i="1"/>
  <c r="H128" i="1"/>
  <c r="G128" i="1"/>
  <c r="Q127" i="1"/>
  <c r="J127" i="1"/>
  <c r="I127" i="1"/>
  <c r="H127" i="1"/>
  <c r="G127" i="1"/>
  <c r="Q126" i="1"/>
  <c r="J126" i="1"/>
  <c r="I126" i="1"/>
  <c r="H126" i="1"/>
  <c r="G126" i="1"/>
  <c r="Q125" i="1"/>
  <c r="J125" i="1"/>
  <c r="I125" i="1"/>
  <c r="H125" i="1"/>
  <c r="G125" i="1"/>
  <c r="Q124" i="1"/>
  <c r="J124" i="1"/>
  <c r="I124" i="1"/>
  <c r="H124" i="1"/>
  <c r="G124" i="1"/>
  <c r="Q123" i="1"/>
  <c r="J123" i="1"/>
  <c r="I123" i="1"/>
  <c r="H123" i="1"/>
  <c r="G123" i="1"/>
  <c r="Q122" i="1"/>
  <c r="J122" i="1"/>
  <c r="I122" i="1"/>
  <c r="H122" i="1"/>
  <c r="G122" i="1"/>
  <c r="Q121" i="1"/>
  <c r="J121" i="1"/>
  <c r="I121" i="1"/>
  <c r="H121" i="1"/>
  <c r="G121" i="1"/>
  <c r="Q120" i="1"/>
  <c r="J120" i="1"/>
  <c r="I120" i="1"/>
  <c r="H120" i="1"/>
  <c r="G120" i="1"/>
  <c r="Q119" i="1"/>
  <c r="J119" i="1"/>
  <c r="I119" i="1"/>
  <c r="H119" i="1"/>
  <c r="G119" i="1"/>
  <c r="Q118" i="1"/>
  <c r="J118" i="1"/>
  <c r="I118" i="1"/>
  <c r="H118" i="1"/>
  <c r="G118" i="1"/>
  <c r="Q117" i="1"/>
  <c r="J117" i="1"/>
  <c r="I117" i="1"/>
  <c r="H117" i="1"/>
  <c r="G117" i="1"/>
  <c r="Q116" i="1"/>
  <c r="J116" i="1"/>
  <c r="I116" i="1"/>
  <c r="H116" i="1"/>
  <c r="G116" i="1"/>
  <c r="Q115" i="1"/>
  <c r="J115" i="1"/>
  <c r="I115" i="1"/>
  <c r="H115" i="1"/>
  <c r="G115" i="1"/>
  <c r="Q114" i="1"/>
  <c r="J114" i="1"/>
  <c r="I114" i="1"/>
  <c r="H114" i="1"/>
  <c r="G114" i="1"/>
  <c r="Q113" i="1"/>
  <c r="J113" i="1"/>
  <c r="I113" i="1"/>
  <c r="H113" i="1"/>
  <c r="G113" i="1"/>
  <c r="Q112" i="1"/>
  <c r="J112" i="1"/>
  <c r="I112" i="1"/>
  <c r="H112" i="1"/>
  <c r="G112" i="1"/>
  <c r="Q111" i="1"/>
  <c r="J111" i="1"/>
  <c r="I111" i="1"/>
  <c r="H111" i="1"/>
  <c r="G111" i="1"/>
  <c r="Q110" i="1"/>
  <c r="J110" i="1"/>
  <c r="I110" i="1"/>
  <c r="H110" i="1"/>
  <c r="G110" i="1"/>
  <c r="Q109" i="1"/>
  <c r="J109" i="1"/>
  <c r="I109" i="1"/>
  <c r="H109" i="1"/>
  <c r="G109" i="1"/>
  <c r="Q108" i="1"/>
  <c r="J108" i="1"/>
  <c r="I108" i="1"/>
  <c r="H108" i="1"/>
  <c r="G108" i="1"/>
  <c r="Q107" i="1"/>
  <c r="J107" i="1"/>
  <c r="I107" i="1"/>
  <c r="H107" i="1"/>
  <c r="G107" i="1"/>
  <c r="Q106" i="1"/>
  <c r="J106" i="1"/>
  <c r="I106" i="1"/>
  <c r="H106" i="1"/>
  <c r="G106" i="1"/>
  <c r="Q105" i="1"/>
  <c r="J105" i="1"/>
  <c r="I105" i="1"/>
  <c r="H105" i="1"/>
  <c r="G105" i="1"/>
  <c r="Q104" i="1"/>
  <c r="J104" i="1"/>
  <c r="I104" i="1"/>
  <c r="H104" i="1"/>
  <c r="G104" i="1"/>
  <c r="Q103" i="1"/>
  <c r="J103" i="1"/>
  <c r="I103" i="1"/>
  <c r="H103" i="1"/>
  <c r="G103" i="1"/>
  <c r="Q102" i="1"/>
  <c r="J102" i="1"/>
  <c r="I102" i="1"/>
  <c r="H102" i="1"/>
  <c r="G102" i="1"/>
  <c r="Q101" i="1"/>
  <c r="J101" i="1"/>
  <c r="I101" i="1"/>
  <c r="H101" i="1"/>
  <c r="G101" i="1"/>
  <c r="Q100" i="1"/>
  <c r="J100" i="1"/>
  <c r="I100" i="1"/>
  <c r="H100" i="1"/>
  <c r="G100" i="1"/>
  <c r="Q99" i="1"/>
  <c r="J99" i="1"/>
  <c r="I99" i="1"/>
  <c r="H99" i="1"/>
  <c r="G99" i="1"/>
  <c r="Q98" i="1"/>
  <c r="J98" i="1"/>
  <c r="I98" i="1"/>
  <c r="H98" i="1"/>
  <c r="G98" i="1"/>
  <c r="Q97" i="1"/>
  <c r="J97" i="1"/>
  <c r="I97" i="1"/>
  <c r="H97" i="1"/>
  <c r="G97" i="1"/>
  <c r="Q96" i="1"/>
  <c r="J96" i="1"/>
  <c r="I96" i="1"/>
  <c r="H96" i="1"/>
  <c r="G96" i="1"/>
  <c r="Q95" i="1"/>
  <c r="J95" i="1"/>
  <c r="I95" i="1"/>
  <c r="H95" i="1"/>
  <c r="G95" i="1"/>
  <c r="Q94" i="1"/>
  <c r="J94" i="1"/>
  <c r="I94" i="1"/>
  <c r="H94" i="1"/>
  <c r="G94" i="1"/>
  <c r="Q93" i="1"/>
  <c r="J93" i="1"/>
  <c r="I93" i="1"/>
  <c r="H93" i="1"/>
  <c r="G93" i="1"/>
  <c r="Q92" i="1"/>
  <c r="J92" i="1"/>
  <c r="I92" i="1"/>
  <c r="H92" i="1"/>
  <c r="G92" i="1"/>
  <c r="Q91" i="1"/>
  <c r="J91" i="1"/>
  <c r="I91" i="1"/>
  <c r="H91" i="1"/>
  <c r="G91" i="1"/>
  <c r="Q90" i="1"/>
  <c r="J90" i="1"/>
  <c r="I90" i="1"/>
  <c r="H90" i="1"/>
  <c r="G90" i="1"/>
  <c r="Q89" i="1"/>
  <c r="J89" i="1"/>
  <c r="I89" i="1"/>
  <c r="H89" i="1"/>
  <c r="G89" i="1"/>
  <c r="Q88" i="1"/>
  <c r="J88" i="1"/>
  <c r="I88" i="1"/>
  <c r="H88" i="1"/>
  <c r="G88" i="1"/>
  <c r="Q87" i="1"/>
  <c r="J87" i="1"/>
  <c r="I87" i="1"/>
  <c r="H87" i="1"/>
  <c r="G87" i="1"/>
  <c r="Q86" i="1"/>
  <c r="J86" i="1"/>
  <c r="I86" i="1"/>
  <c r="H86" i="1"/>
  <c r="G86" i="1"/>
  <c r="Q85" i="1"/>
  <c r="J85" i="1"/>
  <c r="I85" i="1"/>
  <c r="H85" i="1"/>
  <c r="G85" i="1"/>
  <c r="Q84" i="1"/>
  <c r="J84" i="1"/>
  <c r="I84" i="1"/>
  <c r="H84" i="1"/>
  <c r="G84" i="1"/>
  <c r="Q83" i="1"/>
  <c r="J83" i="1"/>
  <c r="I83" i="1"/>
  <c r="H83" i="1"/>
  <c r="G83" i="1"/>
  <c r="Q82" i="1"/>
  <c r="J82" i="1"/>
  <c r="I82" i="1"/>
  <c r="H82" i="1"/>
  <c r="G82" i="1"/>
  <c r="Q81" i="1"/>
  <c r="J81" i="1"/>
  <c r="I81" i="1"/>
  <c r="H81" i="1"/>
  <c r="G81" i="1"/>
  <c r="Q80" i="1"/>
  <c r="J80" i="1"/>
  <c r="I80" i="1"/>
  <c r="H80" i="1"/>
  <c r="G80" i="1"/>
  <c r="Q79" i="1"/>
  <c r="J79" i="1"/>
  <c r="I79" i="1"/>
  <c r="H79" i="1"/>
  <c r="G79" i="1"/>
  <c r="Q78" i="1"/>
  <c r="J78" i="1"/>
  <c r="I78" i="1"/>
  <c r="H78" i="1"/>
  <c r="G78" i="1"/>
  <c r="Q77" i="1"/>
  <c r="J77" i="1"/>
  <c r="I77" i="1"/>
  <c r="H77" i="1"/>
  <c r="G77" i="1"/>
  <c r="Q76" i="1"/>
  <c r="J76" i="1"/>
  <c r="I76" i="1"/>
  <c r="H76" i="1"/>
  <c r="G76" i="1"/>
  <c r="Q75" i="1"/>
  <c r="J75" i="1"/>
  <c r="I75" i="1"/>
  <c r="H75" i="1"/>
  <c r="G75" i="1"/>
  <c r="Q74" i="1"/>
  <c r="J74" i="1"/>
  <c r="I74" i="1"/>
  <c r="H74" i="1"/>
  <c r="G74" i="1"/>
  <c r="Q73" i="1"/>
  <c r="J73" i="1"/>
  <c r="I73" i="1"/>
  <c r="H73" i="1"/>
  <c r="G73" i="1"/>
  <c r="Q72" i="1"/>
  <c r="J72" i="1"/>
  <c r="I72" i="1"/>
  <c r="H72" i="1"/>
  <c r="G72" i="1"/>
  <c r="Q71" i="1"/>
  <c r="J71" i="1"/>
  <c r="I71" i="1"/>
  <c r="H71" i="1"/>
  <c r="G71" i="1"/>
  <c r="Q70" i="1"/>
  <c r="J70" i="1"/>
  <c r="I70" i="1"/>
  <c r="H70" i="1"/>
  <c r="G70" i="1"/>
  <c r="Q69" i="1"/>
  <c r="J69" i="1"/>
  <c r="I69" i="1"/>
  <c r="H69" i="1"/>
  <c r="G69" i="1"/>
  <c r="Q68" i="1"/>
  <c r="J68" i="1"/>
  <c r="I68" i="1"/>
  <c r="H68" i="1"/>
  <c r="G68" i="1"/>
  <c r="Q67" i="1"/>
  <c r="J67" i="1"/>
  <c r="I67" i="1"/>
  <c r="H67" i="1"/>
  <c r="G67" i="1"/>
  <c r="Q66" i="1"/>
  <c r="J66" i="1"/>
  <c r="I66" i="1"/>
  <c r="H66" i="1"/>
  <c r="G66" i="1"/>
  <c r="Q65" i="1"/>
  <c r="J65" i="1"/>
  <c r="I65" i="1"/>
  <c r="H65" i="1"/>
  <c r="G65" i="1"/>
  <c r="Q64" i="1"/>
  <c r="J64" i="1"/>
  <c r="I64" i="1"/>
  <c r="H64" i="1"/>
  <c r="G64" i="1"/>
  <c r="Q63" i="1"/>
  <c r="J63" i="1"/>
  <c r="I63" i="1"/>
  <c r="H63" i="1"/>
  <c r="G63" i="1"/>
  <c r="Q62" i="1"/>
  <c r="J62" i="1"/>
  <c r="I62" i="1"/>
  <c r="H62" i="1"/>
  <c r="G62" i="1"/>
  <c r="Q61" i="1"/>
  <c r="J61" i="1"/>
  <c r="I61" i="1"/>
  <c r="H61" i="1"/>
  <c r="G61" i="1"/>
  <c r="Q60" i="1"/>
  <c r="J60" i="1"/>
  <c r="I60" i="1"/>
  <c r="H60" i="1"/>
  <c r="G60" i="1"/>
  <c r="Q59" i="1"/>
  <c r="J59" i="1"/>
  <c r="I59" i="1"/>
  <c r="H59" i="1"/>
  <c r="G59" i="1"/>
  <c r="Q58" i="1"/>
  <c r="J58" i="1"/>
  <c r="I58" i="1"/>
  <c r="H58" i="1"/>
  <c r="G58" i="1"/>
  <c r="Q57" i="1"/>
  <c r="J57" i="1"/>
  <c r="I57" i="1"/>
  <c r="H57" i="1"/>
  <c r="G57" i="1"/>
  <c r="Q56" i="1"/>
  <c r="J56" i="1"/>
  <c r="I56" i="1"/>
  <c r="H56" i="1"/>
  <c r="G56" i="1"/>
  <c r="Q55" i="1"/>
  <c r="J55" i="1"/>
  <c r="I55" i="1"/>
  <c r="H55" i="1"/>
  <c r="G55" i="1"/>
  <c r="Q54" i="1"/>
  <c r="J54" i="1"/>
  <c r="I54" i="1"/>
  <c r="H54" i="1"/>
  <c r="G54" i="1"/>
  <c r="Q53" i="1"/>
  <c r="J53" i="1"/>
  <c r="I53" i="1"/>
  <c r="H53" i="1"/>
  <c r="G53" i="1"/>
  <c r="Q52" i="1"/>
  <c r="J52" i="1"/>
  <c r="I52" i="1"/>
  <c r="H52" i="1"/>
  <c r="G52" i="1"/>
  <c r="Q51" i="1"/>
  <c r="J51" i="1"/>
  <c r="I51" i="1"/>
  <c r="H51" i="1"/>
  <c r="G51" i="1"/>
  <c r="Q50" i="1"/>
  <c r="J50" i="1"/>
  <c r="I50" i="1"/>
  <c r="H50" i="1"/>
  <c r="G50" i="1"/>
  <c r="Q49" i="1"/>
  <c r="J49" i="1"/>
  <c r="I49" i="1"/>
  <c r="H49" i="1"/>
  <c r="G49" i="1"/>
  <c r="Q48" i="1"/>
  <c r="J48" i="1"/>
  <c r="I48" i="1"/>
  <c r="H48" i="1"/>
  <c r="G48" i="1"/>
  <c r="Q47" i="1"/>
  <c r="J47" i="1"/>
  <c r="I47" i="1"/>
  <c r="H47" i="1"/>
  <c r="G47" i="1"/>
  <c r="Q46" i="1"/>
  <c r="J46" i="1"/>
  <c r="I46" i="1"/>
  <c r="H46" i="1"/>
  <c r="G46" i="1"/>
  <c r="Q45" i="1"/>
  <c r="J45" i="1"/>
  <c r="I45" i="1"/>
  <c r="H45" i="1"/>
  <c r="G45" i="1"/>
  <c r="Q44" i="1"/>
  <c r="J44" i="1"/>
  <c r="I44" i="1"/>
  <c r="H44" i="1"/>
  <c r="G44" i="1"/>
  <c r="Q43" i="1"/>
  <c r="J43" i="1"/>
  <c r="I43" i="1"/>
  <c r="H43" i="1"/>
  <c r="G43" i="1"/>
  <c r="Q42" i="1"/>
  <c r="J42" i="1"/>
  <c r="I42" i="1"/>
  <c r="H42" i="1"/>
  <c r="G42" i="1"/>
  <c r="Q41" i="1"/>
  <c r="J41" i="1"/>
  <c r="I41" i="1"/>
  <c r="H41" i="1"/>
  <c r="G41" i="1"/>
  <c r="Q40" i="1"/>
  <c r="J40" i="1"/>
  <c r="I40" i="1"/>
  <c r="H40" i="1"/>
  <c r="G40" i="1"/>
  <c r="Q39" i="1"/>
  <c r="J39" i="1"/>
  <c r="I39" i="1"/>
  <c r="H39" i="1"/>
  <c r="G39" i="1"/>
  <c r="Q38" i="1"/>
  <c r="J38" i="1"/>
  <c r="I38" i="1"/>
  <c r="H38" i="1"/>
  <c r="G38" i="1"/>
  <c r="Q37" i="1"/>
  <c r="J37" i="1"/>
  <c r="I37" i="1"/>
  <c r="H37" i="1"/>
  <c r="G37" i="1"/>
  <c r="Q36" i="1"/>
  <c r="J36" i="1"/>
  <c r="I36" i="1"/>
  <c r="H36" i="1"/>
  <c r="G36" i="1"/>
  <c r="Q35" i="1"/>
  <c r="J35" i="1"/>
  <c r="I35" i="1"/>
  <c r="H35" i="1"/>
  <c r="G35" i="1"/>
  <c r="Q34" i="1"/>
  <c r="J34" i="1"/>
  <c r="I34" i="1"/>
  <c r="H34" i="1"/>
  <c r="G34" i="1"/>
  <c r="Q33" i="1"/>
  <c r="J33" i="1"/>
  <c r="I33" i="1"/>
  <c r="H33" i="1"/>
  <c r="G33" i="1"/>
  <c r="Q32" i="1"/>
  <c r="J32" i="1"/>
  <c r="I32" i="1"/>
  <c r="H32" i="1"/>
  <c r="G32" i="1"/>
  <c r="Q31" i="1"/>
  <c r="J31" i="1"/>
  <c r="I31" i="1"/>
  <c r="H31" i="1"/>
  <c r="G31" i="1"/>
  <c r="Q30" i="1"/>
  <c r="J30" i="1"/>
  <c r="I30" i="1"/>
  <c r="H30" i="1"/>
  <c r="G30" i="1"/>
  <c r="Q29" i="1"/>
  <c r="J29" i="1"/>
  <c r="I29" i="1"/>
  <c r="H29" i="1"/>
  <c r="G29" i="1"/>
  <c r="Q28" i="1"/>
  <c r="J28" i="1"/>
  <c r="I28" i="1"/>
  <c r="H28" i="1"/>
  <c r="G28" i="1"/>
  <c r="Q27" i="1"/>
  <c r="J27" i="1"/>
  <c r="I27" i="1"/>
  <c r="H27" i="1"/>
  <c r="G27" i="1"/>
  <c r="Q26" i="1"/>
  <c r="J26" i="1"/>
  <c r="I26" i="1"/>
  <c r="H26" i="1"/>
  <c r="G26" i="1"/>
  <c r="Q25" i="1"/>
  <c r="J25" i="1"/>
  <c r="I25" i="1"/>
  <c r="H25" i="1"/>
  <c r="G25" i="1"/>
  <c r="Q24" i="1"/>
  <c r="J24" i="1"/>
  <c r="I24" i="1"/>
  <c r="H24" i="1"/>
  <c r="G24" i="1"/>
  <c r="Q23" i="1"/>
  <c r="J23" i="1"/>
  <c r="I23" i="1"/>
  <c r="H23" i="1"/>
  <c r="G23" i="1"/>
  <c r="Q22" i="1"/>
  <c r="J22" i="1"/>
  <c r="I22" i="1"/>
  <c r="H22" i="1"/>
  <c r="G22" i="1"/>
  <c r="Q21" i="1"/>
  <c r="J21" i="1"/>
  <c r="I21" i="1"/>
  <c r="H21" i="1"/>
  <c r="G21" i="1"/>
  <c r="Q20" i="1"/>
  <c r="J20" i="1"/>
  <c r="I20" i="1"/>
  <c r="H20" i="1"/>
  <c r="G20" i="1"/>
  <c r="Q19" i="1"/>
  <c r="J19" i="1"/>
  <c r="I19" i="1"/>
  <c r="H19" i="1"/>
  <c r="G19" i="1"/>
  <c r="Q18" i="1"/>
  <c r="J18" i="1"/>
  <c r="I18" i="1"/>
  <c r="H18" i="1"/>
  <c r="G18" i="1"/>
  <c r="Q17" i="1"/>
  <c r="J17" i="1"/>
  <c r="I17" i="1"/>
  <c r="H17" i="1"/>
  <c r="G17" i="1"/>
  <c r="Q16" i="1"/>
  <c r="J16" i="1"/>
  <c r="I16" i="1"/>
  <c r="H16" i="1"/>
  <c r="G16" i="1"/>
  <c r="Q15" i="1"/>
  <c r="J15" i="1"/>
  <c r="I15" i="1"/>
  <c r="H15" i="1"/>
  <c r="G15" i="1"/>
  <c r="Q14" i="1"/>
  <c r="J14" i="1"/>
  <c r="I14" i="1"/>
  <c r="H14" i="1"/>
  <c r="G14" i="1"/>
  <c r="Q13" i="1"/>
  <c r="J13" i="1"/>
  <c r="I13" i="1"/>
  <c r="H13" i="1"/>
  <c r="G13" i="1"/>
  <c r="Q12" i="1"/>
  <c r="J12" i="1"/>
  <c r="I12" i="1"/>
  <c r="H12" i="1"/>
  <c r="G12" i="1"/>
  <c r="Q11" i="1"/>
  <c r="J11" i="1"/>
  <c r="I11" i="1"/>
  <c r="H11" i="1"/>
  <c r="G11" i="1"/>
  <c r="Q10" i="1"/>
  <c r="J10" i="1"/>
  <c r="I10" i="1"/>
  <c r="H10" i="1"/>
  <c r="G10" i="1"/>
  <c r="Q9" i="1"/>
  <c r="J9" i="1"/>
  <c r="I9" i="1"/>
  <c r="H9" i="1"/>
  <c r="G9" i="1"/>
  <c r="Q8" i="1"/>
  <c r="J8" i="1"/>
  <c r="I8" i="1"/>
  <c r="H8" i="1"/>
  <c r="G8" i="1"/>
  <c r="Q7" i="1"/>
  <c r="J7" i="1"/>
  <c r="I7" i="1"/>
  <c r="H7" i="1"/>
  <c r="G7" i="1"/>
  <c r="Q6" i="1"/>
  <c r="J6" i="1"/>
  <c r="I6" i="1"/>
  <c r="H6" i="1"/>
  <c r="G6" i="1"/>
  <c r="Q5" i="1"/>
  <c r="J5" i="1"/>
  <c r="I5" i="1"/>
  <c r="H5" i="1"/>
  <c r="G5" i="1"/>
  <c r="Q4" i="1"/>
  <c r="J4" i="1"/>
  <c r="I4" i="1"/>
  <c r="H4" i="1"/>
  <c r="G4" i="1"/>
  <c r="Q3" i="1"/>
  <c r="J3" i="1"/>
  <c r="I3" i="1"/>
  <c r="H3" i="1"/>
  <c r="G3" i="1"/>
</calcChain>
</file>

<file path=xl/sharedStrings.xml><?xml version="1.0" encoding="utf-8"?>
<sst xmlns="http://schemas.openxmlformats.org/spreadsheetml/2006/main" count="447" uniqueCount="309">
  <si>
    <t>Fitting data:</t>
  </si>
  <si>
    <t>Reducing Tee</t>
  </si>
  <si>
    <t>D outside</t>
  </si>
  <si>
    <t>D std. inside</t>
  </si>
  <si>
    <t>D XS inside</t>
  </si>
  <si>
    <t>Wallth.</t>
  </si>
  <si>
    <t>Dimensions Red. Tee</t>
  </si>
  <si>
    <t>Red. Tee</t>
  </si>
  <si>
    <t>Reduced Tees</t>
  </si>
  <si>
    <t>Std. - XS</t>
  </si>
  <si>
    <t>D1</t>
  </si>
  <si>
    <t>D2</t>
  </si>
  <si>
    <t>d1</t>
  </si>
  <si>
    <t>d2</t>
  </si>
  <si>
    <t>s1 Std.</t>
  </si>
  <si>
    <t>s2 Std.</t>
  </si>
  <si>
    <t>s1 XS</t>
  </si>
  <si>
    <t>s2 XS</t>
  </si>
  <si>
    <t>C</t>
  </si>
  <si>
    <t>E</t>
  </si>
  <si>
    <t>F</t>
  </si>
  <si>
    <t>Weight std.</t>
  </si>
  <si>
    <t>Weight XS</t>
  </si>
  <si>
    <t>3/4" x 3/4" x 1/2"</t>
  </si>
  <si>
    <t>1" x 1" x 1/2"</t>
  </si>
  <si>
    <t>1" x 1" x 3/4"</t>
  </si>
  <si>
    <t>1½ x 1½" x 1/2"</t>
  </si>
  <si>
    <t>1½ x 1½" x 3/4"</t>
  </si>
  <si>
    <t>1½ x 1½" x 1"</t>
  </si>
  <si>
    <t>2" x 2" x 3/4"</t>
  </si>
  <si>
    <t>2" x 2" x 1"</t>
  </si>
  <si>
    <t>2" x 2" x 1½"</t>
  </si>
  <si>
    <t>3" x 3" x 1"</t>
  </si>
  <si>
    <t>3" x 3" x 1½"</t>
  </si>
  <si>
    <t>3" x 3" x 2"</t>
  </si>
  <si>
    <t>4" x 4" x 1½"</t>
  </si>
  <si>
    <t>4" x 4" x 2"</t>
  </si>
  <si>
    <t>4" x 4" x 3"</t>
  </si>
  <si>
    <t>6" x 6" x 3"</t>
  </si>
  <si>
    <t>6" x 6" x 4"</t>
  </si>
  <si>
    <t>6" x 6" x 5"</t>
  </si>
  <si>
    <t>8" x 8" x 3"</t>
  </si>
  <si>
    <t>8" x 8" x 4"</t>
  </si>
  <si>
    <t>8" x 8" x 6"</t>
  </si>
  <si>
    <t>10" x 10" x 4"</t>
  </si>
  <si>
    <t>10" x 10" x 6"</t>
  </si>
  <si>
    <t>10" x 10" x 8"</t>
  </si>
  <si>
    <t>12" x 12" x 6"</t>
  </si>
  <si>
    <t>12" x 12" x 8"</t>
  </si>
  <si>
    <t>12" x 12" x 10"</t>
  </si>
  <si>
    <t>14" x 14" x 6"</t>
  </si>
  <si>
    <t>14" x 14" x 8"</t>
  </si>
  <si>
    <t>14" x 14" x 10"</t>
  </si>
  <si>
    <t>14" x 14" x 12"</t>
  </si>
  <si>
    <t>16" x 16" x 6"</t>
  </si>
  <si>
    <t>16" x 16" x 8"</t>
  </si>
  <si>
    <t>16" x 16" x 10"</t>
  </si>
  <si>
    <t>16" x 16" x 12"</t>
  </si>
  <si>
    <t>16" x 16" x 14"</t>
  </si>
  <si>
    <t>18" x 18" x 8"</t>
  </si>
  <si>
    <t>18" x 18" x 10"</t>
  </si>
  <si>
    <t>18" x 18" x 12"</t>
  </si>
  <si>
    <t>18" x 18" x 14"</t>
  </si>
  <si>
    <t>18" x 18" x 16"</t>
  </si>
  <si>
    <t>20" x 20" x 8"</t>
  </si>
  <si>
    <t>20" x 20" x 10"</t>
  </si>
  <si>
    <t>20" x 20" x 12"</t>
  </si>
  <si>
    <t>20" x 20" x 14"</t>
  </si>
  <si>
    <t>20" x 20" x 16"</t>
  </si>
  <si>
    <t>20" x 20" x 18"</t>
  </si>
  <si>
    <t>22" x 22" x 12"</t>
  </si>
  <si>
    <t>22" x 22" x 14"</t>
  </si>
  <si>
    <t>22" x 22" x 16"</t>
  </si>
  <si>
    <t>22" x 22" x 18"</t>
  </si>
  <si>
    <t>22" x 22" x 20"</t>
  </si>
  <si>
    <t>24" x 24" x 10"</t>
  </si>
  <si>
    <t>24" x 24" x 12"</t>
  </si>
  <si>
    <t>24" x 24" x 14"</t>
  </si>
  <si>
    <t>24" x 24" x 16"</t>
  </si>
  <si>
    <t>24" x 24" x 18"</t>
  </si>
  <si>
    <t>24" x 24" x 20"</t>
  </si>
  <si>
    <t>26" x 26" x 12"</t>
  </si>
  <si>
    <t>26" x 26" x 14"</t>
  </si>
  <si>
    <t>26" x 26" x 16"</t>
  </si>
  <si>
    <t>26" x 26" x 18"</t>
  </si>
  <si>
    <t>26" x 26" x 20"</t>
  </si>
  <si>
    <t>26" x 26" x 22"</t>
  </si>
  <si>
    <t>26" x 26" x 24"</t>
  </si>
  <si>
    <t>28" x 28" x 14"</t>
  </si>
  <si>
    <t>28" x 28" x 16"</t>
  </si>
  <si>
    <t>28" x 28" x 18"</t>
  </si>
  <si>
    <t>28" x 28" x 20"</t>
  </si>
  <si>
    <t>28" x 28" x 22"</t>
  </si>
  <si>
    <t>28" x 28" x 24"</t>
  </si>
  <si>
    <t>28" x 28" x 26"</t>
  </si>
  <si>
    <t>30" x 30" x 14"</t>
  </si>
  <si>
    <t>30" x 30" x 16"</t>
  </si>
  <si>
    <t>30" x 30" x 18"</t>
  </si>
  <si>
    <t>30" x 30" x 20"</t>
  </si>
  <si>
    <t>30" x 30" x 22"</t>
  </si>
  <si>
    <t>30" x 30" x 24"</t>
  </si>
  <si>
    <t>30" x 30" x 26"</t>
  </si>
  <si>
    <t>30" x 30" x 28"</t>
  </si>
  <si>
    <t>32" x 32" x 16"</t>
  </si>
  <si>
    <t>32" x 32" x 18"</t>
  </si>
  <si>
    <t>32" x 32" x 20"</t>
  </si>
  <si>
    <t>32" x 32" x 24"</t>
  </si>
  <si>
    <t>32" x 32" x 26"</t>
  </si>
  <si>
    <t>32" x 32" x 28"</t>
  </si>
  <si>
    <t>32" x 32" x 30"</t>
  </si>
  <si>
    <t>34" x 34" x 16"</t>
  </si>
  <si>
    <t>34" x 34" x 18"</t>
  </si>
  <si>
    <t>34" x 34" x 20"</t>
  </si>
  <si>
    <t>34" x 34" x 22"</t>
  </si>
  <si>
    <t>34" x 34" x 24"</t>
  </si>
  <si>
    <t>34" x 34" x 26"</t>
  </si>
  <si>
    <t>34" x 34" x 28"</t>
  </si>
  <si>
    <t>34" x 34" x 30"</t>
  </si>
  <si>
    <t>34" x 34" x 32"</t>
  </si>
  <si>
    <t>36" x 36" x 16"</t>
  </si>
  <si>
    <t>36" x 36" x 18"</t>
  </si>
  <si>
    <t>36" x 36" x 20"</t>
  </si>
  <si>
    <t>36" x 36" x 22"</t>
  </si>
  <si>
    <t>36" x 36" x 24"</t>
  </si>
  <si>
    <t>36" x 36" x 26"</t>
  </si>
  <si>
    <t>36" x 36" x 28"</t>
  </si>
  <si>
    <t>36" x 36" x 30"</t>
  </si>
  <si>
    <t>36" x 36" x 32"</t>
  </si>
  <si>
    <t>36" x 36" x 34"</t>
  </si>
  <si>
    <t>38" x 38" x 18"</t>
  </si>
  <si>
    <t>On request</t>
  </si>
  <si>
    <t>38" x 38" x 20"</t>
  </si>
  <si>
    <t>38" x 38" x 24"</t>
  </si>
  <si>
    <t>38" x 38" x 26"</t>
  </si>
  <si>
    <t>38" x 38" x 28"</t>
  </si>
  <si>
    <t>38" x 38" x 30"</t>
  </si>
  <si>
    <t>38" x 38" x 32"</t>
  </si>
  <si>
    <t>38" x 38" x 34"</t>
  </si>
  <si>
    <t>38" x 38" x 36"</t>
  </si>
  <si>
    <t>40" x 40" x 20"</t>
  </si>
  <si>
    <t>40" x 40" x 22"</t>
  </si>
  <si>
    <t>40" x 40" x 24"</t>
  </si>
  <si>
    <t>40" x 40" x 26"</t>
  </si>
  <si>
    <t>40" x 40" x 28"</t>
  </si>
  <si>
    <t>40" x 40" x 30"</t>
  </si>
  <si>
    <t>40" x 40" x 32"</t>
  </si>
  <si>
    <t>40" x 40" x 34"</t>
  </si>
  <si>
    <t>40" x 40" x 36"</t>
  </si>
  <si>
    <t>40" x 40" x 38"</t>
  </si>
  <si>
    <t>42" x 42" x 16"</t>
  </si>
  <si>
    <t>42" x 42" x 18"</t>
  </si>
  <si>
    <t>42" x 42" x 20"</t>
  </si>
  <si>
    <t>42" x 42" x 22"</t>
  </si>
  <si>
    <t>42" x 42" x 24"</t>
  </si>
  <si>
    <t>42" x 42" x 26"</t>
  </si>
  <si>
    <t>42" x 42" x 28"</t>
  </si>
  <si>
    <t>42" x 42" x 30"</t>
  </si>
  <si>
    <t>42" x 42" x 32"</t>
  </si>
  <si>
    <t>42" x 42" x 34"</t>
  </si>
  <si>
    <t>42" x 42" x 36"</t>
  </si>
  <si>
    <t>44" x 44" x 24"</t>
  </si>
  <si>
    <t>44" x 44" x 26"</t>
  </si>
  <si>
    <t>44" x 44" x 28"</t>
  </si>
  <si>
    <t>44" x 44" x 30"</t>
  </si>
  <si>
    <t>44" x 44" x 32"</t>
  </si>
  <si>
    <t>44" x 44" x 34"</t>
  </si>
  <si>
    <t>44" x 44" x 36"</t>
  </si>
  <si>
    <t>44" x 44" x 38"</t>
  </si>
  <si>
    <t>44" x 44" x 40"</t>
  </si>
  <si>
    <t>44" x 44" x 42"</t>
  </si>
  <si>
    <t>46" x 46" x 24"</t>
  </si>
  <si>
    <t>46" x 46" x 26"</t>
  </si>
  <si>
    <t>46" x 46" x 28"</t>
  </si>
  <si>
    <t>46" x 46" x 30"</t>
  </si>
  <si>
    <t>46" x 46" x 32"</t>
  </si>
  <si>
    <t>46" x 46" x 34"</t>
  </si>
  <si>
    <t>46" x 46" x 36"</t>
  </si>
  <si>
    <t>46" x 46" x 38"</t>
  </si>
  <si>
    <t>46" x 46" x 40"</t>
  </si>
  <si>
    <t>46" x 46" x 42"</t>
  </si>
  <si>
    <t>46" x 46" x 44"</t>
  </si>
  <si>
    <t>48" x 48" x 24"</t>
  </si>
  <si>
    <t>48" x 48" x 26"</t>
  </si>
  <si>
    <t>48" x 48" x 28"</t>
  </si>
  <si>
    <t>48" x 48" x 30"</t>
  </si>
  <si>
    <t>48" x 48" x 32"</t>
  </si>
  <si>
    <t>48" x 48" x 34"</t>
  </si>
  <si>
    <t>48" x 48" x 36"</t>
  </si>
  <si>
    <t>48" x 48" x 38"</t>
  </si>
  <si>
    <t>48" x 48" x 40"</t>
  </si>
  <si>
    <t>48" x 48" x 42"</t>
  </si>
  <si>
    <t>48" x 48" x 44"</t>
  </si>
  <si>
    <t>48" x 48" x 46"</t>
  </si>
  <si>
    <t>Conc./Excentr.</t>
  </si>
  <si>
    <t>D inside std.</t>
  </si>
  <si>
    <t>D inside XS</t>
  </si>
  <si>
    <t>Red.</t>
  </si>
  <si>
    <t>Exc.</t>
  </si>
  <si>
    <t>Reducer</t>
  </si>
  <si>
    <t>Conc. and Exc. Reducers</t>
  </si>
  <si>
    <t>Red. std.</t>
  </si>
  <si>
    <t>Length  L</t>
  </si>
  <si>
    <t>M</t>
  </si>
  <si>
    <t>D1 Std.</t>
  </si>
  <si>
    <t>D2 Std.</t>
  </si>
  <si>
    <t>D1 XS</t>
  </si>
  <si>
    <t>D2 XS</t>
  </si>
  <si>
    <t>3/4" x 1/2"</t>
  </si>
  <si>
    <t>1" x 1/2"</t>
  </si>
  <si>
    <t>1" x 3/4"</t>
  </si>
  <si>
    <t>1½" x 1/2"</t>
  </si>
  <si>
    <t>1½" x 3/4"</t>
  </si>
  <si>
    <t>1½" x 1"</t>
  </si>
  <si>
    <t>2" x 3/4"</t>
  </si>
  <si>
    <t>2" x 1"</t>
  </si>
  <si>
    <t>2" x 1½"</t>
  </si>
  <si>
    <t>3" x 1½"</t>
  </si>
  <si>
    <t>3" x 2"</t>
  </si>
  <si>
    <t>4" x 1½"</t>
  </si>
  <si>
    <t>4" x 2"</t>
  </si>
  <si>
    <t>4" x 3"</t>
  </si>
  <si>
    <t>6" x 3"</t>
  </si>
  <si>
    <t>6" x 4"</t>
  </si>
  <si>
    <t>8" x 4"</t>
  </si>
  <si>
    <t>8" x 6"</t>
  </si>
  <si>
    <t>10" x 4"</t>
  </si>
  <si>
    <t>10" x 6"</t>
  </si>
  <si>
    <t>10" x 8"</t>
  </si>
  <si>
    <t>12" x 6"</t>
  </si>
  <si>
    <t>12" x 8"</t>
  </si>
  <si>
    <t>12" x 10"</t>
  </si>
  <si>
    <t>14" x 6"</t>
  </si>
  <si>
    <t>14" x 8"</t>
  </si>
  <si>
    <t>14" x 10"</t>
  </si>
  <si>
    <t>14" x 12"</t>
  </si>
  <si>
    <t>16" x 8"</t>
  </si>
  <si>
    <t>16" x 10"</t>
  </si>
  <si>
    <t>16" x 12"</t>
  </si>
  <si>
    <t>16" x 14"</t>
  </si>
  <si>
    <t>18" x 10"</t>
  </si>
  <si>
    <t>18" x 12"</t>
  </si>
  <si>
    <t>18" x 14"</t>
  </si>
  <si>
    <t>18" x 16"</t>
  </si>
  <si>
    <t>20" x 12"</t>
  </si>
  <si>
    <t>20" x 14"</t>
  </si>
  <si>
    <t>20" x 16"</t>
  </si>
  <si>
    <t>20" x 18"</t>
  </si>
  <si>
    <t>22" x 14"</t>
  </si>
  <si>
    <t>22" x 16"</t>
  </si>
  <si>
    <t>22" x 18"</t>
  </si>
  <si>
    <t>22" x 20"</t>
  </si>
  <si>
    <t>24" x 16"</t>
  </si>
  <si>
    <t>24" x 18"</t>
  </si>
  <si>
    <t>24" x 20"</t>
  </si>
  <si>
    <t>26" x 18"</t>
  </si>
  <si>
    <t>26" x 20"</t>
  </si>
  <si>
    <t>26" x 22"</t>
  </si>
  <si>
    <t>26" x 24"</t>
  </si>
  <si>
    <t>28" x 18"</t>
  </si>
  <si>
    <t>28" x 20"</t>
  </si>
  <si>
    <t>28" x 24"</t>
  </si>
  <si>
    <t>28" x 26"</t>
  </si>
  <si>
    <t>30" x 20"</t>
  </si>
  <si>
    <t>30" x 24"</t>
  </si>
  <si>
    <t>30" x 26"</t>
  </si>
  <si>
    <t>30" x 28"</t>
  </si>
  <si>
    <t>32" x 24"</t>
  </si>
  <si>
    <t>32" x 26"</t>
  </si>
  <si>
    <t>32" x 28"</t>
  </si>
  <si>
    <t>32" x 30"</t>
  </si>
  <si>
    <t>34" x 24"</t>
  </si>
  <si>
    <t>34" x 26"</t>
  </si>
  <si>
    <t>34" x 28"</t>
  </si>
  <si>
    <t>34" x 30"</t>
  </si>
  <si>
    <t>34" x 32"</t>
  </si>
  <si>
    <t>36" x 24"</t>
  </si>
  <si>
    <t>36" x 26"</t>
  </si>
  <si>
    <t>36" x 30"</t>
  </si>
  <si>
    <t>36" x 32"</t>
  </si>
  <si>
    <t>36" x 34"</t>
  </si>
  <si>
    <t>38" x 26"</t>
  </si>
  <si>
    <t>38" x 28"</t>
  </si>
  <si>
    <t>38" x 30"</t>
  </si>
  <si>
    <t>38" x 32"</t>
  </si>
  <si>
    <t>38" x 34"</t>
  </si>
  <si>
    <t>38" x 36"</t>
  </si>
  <si>
    <t>40" x 30"</t>
  </si>
  <si>
    <t>40" x 32"</t>
  </si>
  <si>
    <t>40" x 34"</t>
  </si>
  <si>
    <t>40" x 36"</t>
  </si>
  <si>
    <t>40" x 38"</t>
  </si>
  <si>
    <t>42" x 30"</t>
  </si>
  <si>
    <t>42" x 32"</t>
  </si>
  <si>
    <t>42" x 34"</t>
  </si>
  <si>
    <t>42" x 36"</t>
  </si>
  <si>
    <t>42" x 38"</t>
  </si>
  <si>
    <t>42" x 40"</t>
  </si>
  <si>
    <t>44" x 36"</t>
  </si>
  <si>
    <t>44" x 38"</t>
  </si>
  <si>
    <t>44" x 40"</t>
  </si>
  <si>
    <t>44" x 42"</t>
  </si>
  <si>
    <t>46" x 38"</t>
  </si>
  <si>
    <t>46" x 40"</t>
  </si>
  <si>
    <t>46" x 42"</t>
  </si>
  <si>
    <t>46" x 44"</t>
  </si>
  <si>
    <t>48" x 40"</t>
  </si>
  <si>
    <t>48" x 42"</t>
  </si>
  <si>
    <t>48" x 44"</t>
  </si>
  <si>
    <t>48" x 46"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</si>
</sst>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quotePrefix="1" applyNumberFormat="1" applyFont="1" applyAlignment="1">
      <alignment horizontal="center"/>
    </xf>
    <xf numFmtId="2" fontId="2" fillId="0" borderId="0" xfId="0" quotePrefix="1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/>
    <xf numFmtId="0" fontId="1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3" borderId="0" xfId="0" applyFont="1" applyFill="1"/>
    <xf numFmtId="0" fontId="0" fillId="3" borderId="0" xfId="0" applyFill="1"/>
    <xf numFmtId="0" fontId="1" fillId="3" borderId="5" xfId="0" applyFont="1" applyFill="1" applyBorder="1"/>
    <xf numFmtId="0" fontId="2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2" fontId="1" fillId="3" borderId="8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3" borderId="2" xfId="0" applyFont="1" applyFill="1" applyBorder="1"/>
    <xf numFmtId="0" fontId="3" fillId="0" borderId="0" xfId="0" applyFont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2" fontId="1" fillId="3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6"/>
  <sheetViews>
    <sheetView tabSelected="1" zoomScale="70" zoomScaleNormal="70" workbookViewId="0">
      <selection activeCell="U10" sqref="U10"/>
    </sheetView>
  </sheetViews>
  <sheetFormatPr defaultRowHeight="14.5" x14ac:dyDescent="0.35"/>
  <cols>
    <col min="4" max="4" width="17.26953125" style="28" customWidth="1"/>
    <col min="17" max="18" width="13.26953125" customWidth="1"/>
    <col min="19" max="19" width="12.7265625" customWidth="1"/>
    <col min="260" max="260" width="17.26953125" customWidth="1"/>
    <col min="273" max="274" width="13.26953125" customWidth="1"/>
    <col min="275" max="275" width="12.7265625" customWidth="1"/>
    <col min="516" max="516" width="17.26953125" customWidth="1"/>
    <col min="529" max="530" width="13.26953125" customWidth="1"/>
    <col min="531" max="531" width="12.7265625" customWidth="1"/>
    <col min="772" max="772" width="17.26953125" customWidth="1"/>
    <col min="785" max="786" width="13.26953125" customWidth="1"/>
    <col min="787" max="787" width="12.7265625" customWidth="1"/>
    <col min="1028" max="1028" width="17.26953125" customWidth="1"/>
    <col min="1041" max="1042" width="13.26953125" customWidth="1"/>
    <col min="1043" max="1043" width="12.7265625" customWidth="1"/>
    <col min="1284" max="1284" width="17.26953125" customWidth="1"/>
    <col min="1297" max="1298" width="13.26953125" customWidth="1"/>
    <col min="1299" max="1299" width="12.7265625" customWidth="1"/>
    <col min="1540" max="1540" width="17.26953125" customWidth="1"/>
    <col min="1553" max="1554" width="13.26953125" customWidth="1"/>
    <col min="1555" max="1555" width="12.7265625" customWidth="1"/>
    <col min="1796" max="1796" width="17.26953125" customWidth="1"/>
    <col min="1809" max="1810" width="13.26953125" customWidth="1"/>
    <col min="1811" max="1811" width="12.7265625" customWidth="1"/>
    <col min="2052" max="2052" width="17.26953125" customWidth="1"/>
    <col min="2065" max="2066" width="13.26953125" customWidth="1"/>
    <col min="2067" max="2067" width="12.7265625" customWidth="1"/>
    <col min="2308" max="2308" width="17.26953125" customWidth="1"/>
    <col min="2321" max="2322" width="13.26953125" customWidth="1"/>
    <col min="2323" max="2323" width="12.7265625" customWidth="1"/>
    <col min="2564" max="2564" width="17.26953125" customWidth="1"/>
    <col min="2577" max="2578" width="13.26953125" customWidth="1"/>
    <col min="2579" max="2579" width="12.7265625" customWidth="1"/>
    <col min="2820" max="2820" width="17.26953125" customWidth="1"/>
    <col min="2833" max="2834" width="13.26953125" customWidth="1"/>
    <col min="2835" max="2835" width="12.7265625" customWidth="1"/>
    <col min="3076" max="3076" width="17.26953125" customWidth="1"/>
    <col min="3089" max="3090" width="13.26953125" customWidth="1"/>
    <col min="3091" max="3091" width="12.7265625" customWidth="1"/>
    <col min="3332" max="3332" width="17.26953125" customWidth="1"/>
    <col min="3345" max="3346" width="13.26953125" customWidth="1"/>
    <col min="3347" max="3347" width="12.7265625" customWidth="1"/>
    <col min="3588" max="3588" width="17.26953125" customWidth="1"/>
    <col min="3601" max="3602" width="13.26953125" customWidth="1"/>
    <col min="3603" max="3603" width="12.7265625" customWidth="1"/>
    <col min="3844" max="3844" width="17.26953125" customWidth="1"/>
    <col min="3857" max="3858" width="13.26953125" customWidth="1"/>
    <col min="3859" max="3859" width="12.7265625" customWidth="1"/>
    <col min="4100" max="4100" width="17.26953125" customWidth="1"/>
    <col min="4113" max="4114" width="13.26953125" customWidth="1"/>
    <col min="4115" max="4115" width="12.7265625" customWidth="1"/>
    <col min="4356" max="4356" width="17.26953125" customWidth="1"/>
    <col min="4369" max="4370" width="13.26953125" customWidth="1"/>
    <col min="4371" max="4371" width="12.7265625" customWidth="1"/>
    <col min="4612" max="4612" width="17.26953125" customWidth="1"/>
    <col min="4625" max="4626" width="13.26953125" customWidth="1"/>
    <col min="4627" max="4627" width="12.7265625" customWidth="1"/>
    <col min="4868" max="4868" width="17.26953125" customWidth="1"/>
    <col min="4881" max="4882" width="13.26953125" customWidth="1"/>
    <col min="4883" max="4883" width="12.7265625" customWidth="1"/>
    <col min="5124" max="5124" width="17.26953125" customWidth="1"/>
    <col min="5137" max="5138" width="13.26953125" customWidth="1"/>
    <col min="5139" max="5139" width="12.7265625" customWidth="1"/>
    <col min="5380" max="5380" width="17.26953125" customWidth="1"/>
    <col min="5393" max="5394" width="13.26953125" customWidth="1"/>
    <col min="5395" max="5395" width="12.7265625" customWidth="1"/>
    <col min="5636" max="5636" width="17.26953125" customWidth="1"/>
    <col min="5649" max="5650" width="13.26953125" customWidth="1"/>
    <col min="5651" max="5651" width="12.7265625" customWidth="1"/>
    <col min="5892" max="5892" width="17.26953125" customWidth="1"/>
    <col min="5905" max="5906" width="13.26953125" customWidth="1"/>
    <col min="5907" max="5907" width="12.7265625" customWidth="1"/>
    <col min="6148" max="6148" width="17.26953125" customWidth="1"/>
    <col min="6161" max="6162" width="13.26953125" customWidth="1"/>
    <col min="6163" max="6163" width="12.7265625" customWidth="1"/>
    <col min="6404" max="6404" width="17.26953125" customWidth="1"/>
    <col min="6417" max="6418" width="13.26953125" customWidth="1"/>
    <col min="6419" max="6419" width="12.7265625" customWidth="1"/>
    <col min="6660" max="6660" width="17.26953125" customWidth="1"/>
    <col min="6673" max="6674" width="13.26953125" customWidth="1"/>
    <col min="6675" max="6675" width="12.7265625" customWidth="1"/>
    <col min="6916" max="6916" width="17.26953125" customWidth="1"/>
    <col min="6929" max="6930" width="13.26953125" customWidth="1"/>
    <col min="6931" max="6931" width="12.7265625" customWidth="1"/>
    <col min="7172" max="7172" width="17.26953125" customWidth="1"/>
    <col min="7185" max="7186" width="13.26953125" customWidth="1"/>
    <col min="7187" max="7187" width="12.7265625" customWidth="1"/>
    <col min="7428" max="7428" width="17.26953125" customWidth="1"/>
    <col min="7441" max="7442" width="13.26953125" customWidth="1"/>
    <col min="7443" max="7443" width="12.7265625" customWidth="1"/>
    <col min="7684" max="7684" width="17.26953125" customWidth="1"/>
    <col min="7697" max="7698" width="13.26953125" customWidth="1"/>
    <col min="7699" max="7699" width="12.7265625" customWidth="1"/>
    <col min="7940" max="7940" width="17.26953125" customWidth="1"/>
    <col min="7953" max="7954" width="13.26953125" customWidth="1"/>
    <col min="7955" max="7955" width="12.7265625" customWidth="1"/>
    <col min="8196" max="8196" width="17.26953125" customWidth="1"/>
    <col min="8209" max="8210" width="13.26953125" customWidth="1"/>
    <col min="8211" max="8211" width="12.7265625" customWidth="1"/>
    <col min="8452" max="8452" width="17.26953125" customWidth="1"/>
    <col min="8465" max="8466" width="13.26953125" customWidth="1"/>
    <col min="8467" max="8467" width="12.7265625" customWidth="1"/>
    <col min="8708" max="8708" width="17.26953125" customWidth="1"/>
    <col min="8721" max="8722" width="13.26953125" customWidth="1"/>
    <col min="8723" max="8723" width="12.7265625" customWidth="1"/>
    <col min="8964" max="8964" width="17.26953125" customWidth="1"/>
    <col min="8977" max="8978" width="13.26953125" customWidth="1"/>
    <col min="8979" max="8979" width="12.7265625" customWidth="1"/>
    <col min="9220" max="9220" width="17.26953125" customWidth="1"/>
    <col min="9233" max="9234" width="13.26953125" customWidth="1"/>
    <col min="9235" max="9235" width="12.7265625" customWidth="1"/>
    <col min="9476" max="9476" width="17.26953125" customWidth="1"/>
    <col min="9489" max="9490" width="13.26953125" customWidth="1"/>
    <col min="9491" max="9491" width="12.7265625" customWidth="1"/>
    <col min="9732" max="9732" width="17.26953125" customWidth="1"/>
    <col min="9745" max="9746" width="13.26953125" customWidth="1"/>
    <col min="9747" max="9747" width="12.7265625" customWidth="1"/>
    <col min="9988" max="9988" width="17.26953125" customWidth="1"/>
    <col min="10001" max="10002" width="13.26953125" customWidth="1"/>
    <col min="10003" max="10003" width="12.7265625" customWidth="1"/>
    <col min="10244" max="10244" width="17.26953125" customWidth="1"/>
    <col min="10257" max="10258" width="13.26953125" customWidth="1"/>
    <col min="10259" max="10259" width="12.7265625" customWidth="1"/>
    <col min="10500" max="10500" width="17.26953125" customWidth="1"/>
    <col min="10513" max="10514" width="13.26953125" customWidth="1"/>
    <col min="10515" max="10515" width="12.7265625" customWidth="1"/>
    <col min="10756" max="10756" width="17.26953125" customWidth="1"/>
    <col min="10769" max="10770" width="13.26953125" customWidth="1"/>
    <col min="10771" max="10771" width="12.7265625" customWidth="1"/>
    <col min="11012" max="11012" width="17.26953125" customWidth="1"/>
    <col min="11025" max="11026" width="13.26953125" customWidth="1"/>
    <col min="11027" max="11027" width="12.7265625" customWidth="1"/>
    <col min="11268" max="11268" width="17.26953125" customWidth="1"/>
    <col min="11281" max="11282" width="13.26953125" customWidth="1"/>
    <col min="11283" max="11283" width="12.7265625" customWidth="1"/>
    <col min="11524" max="11524" width="17.26953125" customWidth="1"/>
    <col min="11537" max="11538" width="13.26953125" customWidth="1"/>
    <col min="11539" max="11539" width="12.7265625" customWidth="1"/>
    <col min="11780" max="11780" width="17.26953125" customWidth="1"/>
    <col min="11793" max="11794" width="13.26953125" customWidth="1"/>
    <col min="11795" max="11795" width="12.7265625" customWidth="1"/>
    <col min="12036" max="12036" width="17.26953125" customWidth="1"/>
    <col min="12049" max="12050" width="13.26953125" customWidth="1"/>
    <col min="12051" max="12051" width="12.7265625" customWidth="1"/>
    <col min="12292" max="12292" width="17.26953125" customWidth="1"/>
    <col min="12305" max="12306" width="13.26953125" customWidth="1"/>
    <col min="12307" max="12307" width="12.7265625" customWidth="1"/>
    <col min="12548" max="12548" width="17.26953125" customWidth="1"/>
    <col min="12561" max="12562" width="13.26953125" customWidth="1"/>
    <col min="12563" max="12563" width="12.7265625" customWidth="1"/>
    <col min="12804" max="12804" width="17.26953125" customWidth="1"/>
    <col min="12817" max="12818" width="13.26953125" customWidth="1"/>
    <col min="12819" max="12819" width="12.7265625" customWidth="1"/>
    <col min="13060" max="13060" width="17.26953125" customWidth="1"/>
    <col min="13073" max="13074" width="13.26953125" customWidth="1"/>
    <col min="13075" max="13075" width="12.7265625" customWidth="1"/>
    <col min="13316" max="13316" width="17.26953125" customWidth="1"/>
    <col min="13329" max="13330" width="13.26953125" customWidth="1"/>
    <col min="13331" max="13331" width="12.7265625" customWidth="1"/>
    <col min="13572" max="13572" width="17.26953125" customWidth="1"/>
    <col min="13585" max="13586" width="13.26953125" customWidth="1"/>
    <col min="13587" max="13587" width="12.7265625" customWidth="1"/>
    <col min="13828" max="13828" width="17.26953125" customWidth="1"/>
    <col min="13841" max="13842" width="13.26953125" customWidth="1"/>
    <col min="13843" max="13843" width="12.7265625" customWidth="1"/>
    <col min="14084" max="14084" width="17.26953125" customWidth="1"/>
    <col min="14097" max="14098" width="13.26953125" customWidth="1"/>
    <col min="14099" max="14099" width="12.7265625" customWidth="1"/>
    <col min="14340" max="14340" width="17.26953125" customWidth="1"/>
    <col min="14353" max="14354" width="13.26953125" customWidth="1"/>
    <col min="14355" max="14355" width="12.7265625" customWidth="1"/>
    <col min="14596" max="14596" width="17.26953125" customWidth="1"/>
    <col min="14609" max="14610" width="13.26953125" customWidth="1"/>
    <col min="14611" max="14611" width="12.7265625" customWidth="1"/>
    <col min="14852" max="14852" width="17.26953125" customWidth="1"/>
    <col min="14865" max="14866" width="13.26953125" customWidth="1"/>
    <col min="14867" max="14867" width="12.7265625" customWidth="1"/>
    <col min="15108" max="15108" width="17.26953125" customWidth="1"/>
    <col min="15121" max="15122" width="13.26953125" customWidth="1"/>
    <col min="15123" max="15123" width="12.7265625" customWidth="1"/>
    <col min="15364" max="15364" width="17.26953125" customWidth="1"/>
    <col min="15377" max="15378" width="13.26953125" customWidth="1"/>
    <col min="15379" max="15379" width="12.7265625" customWidth="1"/>
    <col min="15620" max="15620" width="17.26953125" customWidth="1"/>
    <col min="15633" max="15634" width="13.26953125" customWidth="1"/>
    <col min="15635" max="15635" width="12.7265625" customWidth="1"/>
    <col min="15876" max="15876" width="17.26953125" customWidth="1"/>
    <col min="15889" max="15890" width="13.26953125" customWidth="1"/>
    <col min="15891" max="15891" width="12.7265625" customWidth="1"/>
    <col min="16132" max="16132" width="17.26953125" customWidth="1"/>
    <col min="16145" max="16146" width="13.26953125" customWidth="1"/>
    <col min="16147" max="16147" width="12.7265625" customWidth="1"/>
  </cols>
  <sheetData>
    <row r="1" spans="1:19" s="15" customFormat="1" x14ac:dyDescent="0.35">
      <c r="A1" s="10" t="s">
        <v>0</v>
      </c>
      <c r="B1" s="11"/>
      <c r="C1" s="11"/>
      <c r="D1" s="23" t="s">
        <v>1</v>
      </c>
      <c r="E1" s="31" t="s">
        <v>2</v>
      </c>
      <c r="F1" s="31"/>
      <c r="G1" s="32" t="s">
        <v>3</v>
      </c>
      <c r="H1" s="33"/>
      <c r="I1" s="32" t="s">
        <v>4</v>
      </c>
      <c r="J1" s="33"/>
      <c r="K1" s="29" t="s">
        <v>5</v>
      </c>
      <c r="L1" s="31"/>
      <c r="M1" s="31"/>
      <c r="N1" s="30"/>
      <c r="O1" s="29" t="s">
        <v>6</v>
      </c>
      <c r="P1" s="31"/>
      <c r="Q1" s="30"/>
      <c r="R1" s="29" t="s">
        <v>7</v>
      </c>
      <c r="S1" s="30"/>
    </row>
    <row r="2" spans="1:19" s="15" customFormat="1" ht="15" thickBot="1" x14ac:dyDescent="0.4">
      <c r="A2" s="16" t="s">
        <v>8</v>
      </c>
      <c r="B2" s="17"/>
      <c r="C2" s="17"/>
      <c r="D2" s="24" t="s">
        <v>9</v>
      </c>
      <c r="E2" s="20" t="s">
        <v>10</v>
      </c>
      <c r="F2" s="20" t="s">
        <v>11</v>
      </c>
      <c r="G2" s="21" t="s">
        <v>12</v>
      </c>
      <c r="H2" s="22" t="s">
        <v>13</v>
      </c>
      <c r="I2" s="21" t="s">
        <v>12</v>
      </c>
      <c r="J2" s="22" t="s">
        <v>13</v>
      </c>
      <c r="K2" s="18" t="s">
        <v>14</v>
      </c>
      <c r="L2" s="20" t="s">
        <v>15</v>
      </c>
      <c r="M2" s="20" t="s">
        <v>16</v>
      </c>
      <c r="N2" s="19" t="s">
        <v>17</v>
      </c>
      <c r="O2" s="18" t="s">
        <v>18</v>
      </c>
      <c r="P2" s="20" t="s">
        <v>19</v>
      </c>
      <c r="Q2" s="19" t="s">
        <v>20</v>
      </c>
      <c r="R2" s="18" t="s">
        <v>21</v>
      </c>
      <c r="S2" s="19" t="s">
        <v>22</v>
      </c>
    </row>
    <row r="3" spans="1:19" x14ac:dyDescent="0.35">
      <c r="A3" s="1"/>
      <c r="B3" s="2"/>
      <c r="C3" s="2"/>
      <c r="D3" s="25" t="s">
        <v>23</v>
      </c>
      <c r="E3" s="3">
        <v>26.67</v>
      </c>
      <c r="F3" s="3">
        <v>21.34</v>
      </c>
      <c r="G3" s="4">
        <f t="shared" ref="G3:H34" si="0">E3-2*K3</f>
        <v>20.93</v>
      </c>
      <c r="H3" s="4">
        <f t="shared" si="0"/>
        <v>15.8</v>
      </c>
      <c r="I3" s="4">
        <f t="shared" ref="I3:J34" si="1">E3-2*M3</f>
        <v>18.850000000000001</v>
      </c>
      <c r="J3" s="4">
        <f t="shared" si="1"/>
        <v>13.879999999999999</v>
      </c>
      <c r="K3" s="3">
        <v>2.87</v>
      </c>
      <c r="L3" s="3">
        <v>2.77</v>
      </c>
      <c r="M3" s="3">
        <v>3.91</v>
      </c>
      <c r="N3" s="3">
        <v>3.73</v>
      </c>
      <c r="O3" s="5">
        <v>28.6</v>
      </c>
      <c r="P3" s="5">
        <v>28.6</v>
      </c>
      <c r="Q3" s="5">
        <f t="shared" ref="Q3:Q34" si="2">2*P3</f>
        <v>57.2</v>
      </c>
      <c r="R3" s="4">
        <v>0.154</v>
      </c>
      <c r="S3" s="4">
        <v>0.191</v>
      </c>
    </row>
    <row r="4" spans="1:19" x14ac:dyDescent="0.35">
      <c r="A4" s="1"/>
      <c r="B4" s="2"/>
      <c r="C4" s="2"/>
      <c r="D4" s="25" t="s">
        <v>24</v>
      </c>
      <c r="E4" s="3">
        <v>33.4</v>
      </c>
      <c r="F4" s="3">
        <v>21.34</v>
      </c>
      <c r="G4" s="4">
        <f t="shared" si="0"/>
        <v>26.64</v>
      </c>
      <c r="H4" s="4">
        <f t="shared" si="0"/>
        <v>15.8</v>
      </c>
      <c r="I4" s="4">
        <f t="shared" si="1"/>
        <v>24.299999999999997</v>
      </c>
      <c r="J4" s="4">
        <f t="shared" si="1"/>
        <v>13.879999999999999</v>
      </c>
      <c r="K4" s="3">
        <v>3.38</v>
      </c>
      <c r="L4" s="3">
        <v>2.77</v>
      </c>
      <c r="M4" s="3">
        <v>4.55</v>
      </c>
      <c r="N4" s="3">
        <v>3.73</v>
      </c>
      <c r="O4" s="5">
        <v>38.1</v>
      </c>
      <c r="P4" s="5">
        <v>38.1</v>
      </c>
      <c r="Q4" s="5">
        <f t="shared" si="2"/>
        <v>76.2</v>
      </c>
      <c r="R4" s="4">
        <v>0.28999999999999998</v>
      </c>
      <c r="S4" s="4">
        <v>0.35799999999999998</v>
      </c>
    </row>
    <row r="5" spans="1:19" x14ac:dyDescent="0.35">
      <c r="A5" s="1"/>
      <c r="B5" s="2"/>
      <c r="C5" s="2"/>
      <c r="D5" s="25" t="s">
        <v>25</v>
      </c>
      <c r="E5" s="3">
        <v>33.4</v>
      </c>
      <c r="F5" s="3">
        <v>26.67</v>
      </c>
      <c r="G5" s="4">
        <f t="shared" si="0"/>
        <v>26.64</v>
      </c>
      <c r="H5" s="4">
        <f t="shared" si="0"/>
        <v>20.93</v>
      </c>
      <c r="I5" s="4">
        <f t="shared" si="1"/>
        <v>24.299999999999997</v>
      </c>
      <c r="J5" s="4">
        <f t="shared" si="1"/>
        <v>18.850000000000001</v>
      </c>
      <c r="K5" s="3">
        <v>3.38</v>
      </c>
      <c r="L5" s="3">
        <v>2.87</v>
      </c>
      <c r="M5" s="3">
        <v>4.55</v>
      </c>
      <c r="N5" s="3">
        <v>3.91</v>
      </c>
      <c r="O5" s="5">
        <v>38.1</v>
      </c>
      <c r="P5" s="5">
        <v>38.1</v>
      </c>
      <c r="Q5" s="5">
        <f t="shared" si="2"/>
        <v>76.2</v>
      </c>
      <c r="R5" s="4">
        <v>0.29499999999999998</v>
      </c>
      <c r="S5" s="4">
        <v>0.36299999999999999</v>
      </c>
    </row>
    <row r="6" spans="1:19" x14ac:dyDescent="0.35">
      <c r="A6" s="1"/>
      <c r="B6" s="2"/>
      <c r="C6" s="2"/>
      <c r="D6" s="25" t="s">
        <v>26</v>
      </c>
      <c r="E6" s="3">
        <v>48.26</v>
      </c>
      <c r="F6" s="3">
        <v>21.34</v>
      </c>
      <c r="G6" s="4">
        <f t="shared" si="0"/>
        <v>40.9</v>
      </c>
      <c r="H6" s="4">
        <f t="shared" si="0"/>
        <v>15.8</v>
      </c>
      <c r="I6" s="4">
        <f t="shared" si="1"/>
        <v>38.099999999999994</v>
      </c>
      <c r="J6" s="4">
        <f t="shared" si="1"/>
        <v>13.879999999999999</v>
      </c>
      <c r="K6" s="3">
        <v>3.68</v>
      </c>
      <c r="L6" s="3">
        <v>2.77</v>
      </c>
      <c r="M6" s="3">
        <v>5.08</v>
      </c>
      <c r="N6" s="3">
        <v>3.73</v>
      </c>
      <c r="O6" s="5">
        <v>57.2</v>
      </c>
      <c r="P6" s="5">
        <v>57.2</v>
      </c>
      <c r="Q6" s="5">
        <f t="shared" si="2"/>
        <v>114.4</v>
      </c>
      <c r="R6" s="4">
        <v>0.73</v>
      </c>
      <c r="S6" s="4">
        <v>0.91800000000000004</v>
      </c>
    </row>
    <row r="7" spans="1:19" x14ac:dyDescent="0.35">
      <c r="A7" s="1"/>
      <c r="B7" s="2"/>
      <c r="C7" s="2"/>
      <c r="D7" s="25" t="s">
        <v>27</v>
      </c>
      <c r="E7" s="3">
        <v>48.26</v>
      </c>
      <c r="F7" s="3">
        <v>26.67</v>
      </c>
      <c r="G7" s="4">
        <f t="shared" si="0"/>
        <v>40.9</v>
      </c>
      <c r="H7" s="4">
        <f t="shared" si="0"/>
        <v>20.93</v>
      </c>
      <c r="I7" s="4">
        <f t="shared" si="1"/>
        <v>38.099999999999994</v>
      </c>
      <c r="J7" s="4">
        <f t="shared" si="1"/>
        <v>18.850000000000001</v>
      </c>
      <c r="K7" s="3">
        <v>3.68</v>
      </c>
      <c r="L7" s="3">
        <v>2.87</v>
      </c>
      <c r="M7" s="3">
        <v>5.08</v>
      </c>
      <c r="N7" s="3">
        <v>3.91</v>
      </c>
      <c r="O7" s="5">
        <v>57.2</v>
      </c>
      <c r="P7" s="5">
        <v>57.2</v>
      </c>
      <c r="Q7" s="5">
        <f t="shared" si="2"/>
        <v>114.4</v>
      </c>
      <c r="R7" s="4">
        <v>0.73</v>
      </c>
      <c r="S7" s="4">
        <v>0.92100000000000004</v>
      </c>
    </row>
    <row r="8" spans="1:19" x14ac:dyDescent="0.35">
      <c r="A8" s="1"/>
      <c r="B8" s="2"/>
      <c r="C8" s="2"/>
      <c r="D8" s="25" t="s">
        <v>28</v>
      </c>
      <c r="E8" s="3">
        <v>48.26</v>
      </c>
      <c r="F8" s="3">
        <v>33.4</v>
      </c>
      <c r="G8" s="4">
        <f t="shared" si="0"/>
        <v>40.9</v>
      </c>
      <c r="H8" s="4">
        <f t="shared" si="0"/>
        <v>26.64</v>
      </c>
      <c r="I8" s="4">
        <f t="shared" si="1"/>
        <v>38.099999999999994</v>
      </c>
      <c r="J8" s="4">
        <f t="shared" si="1"/>
        <v>24.299999999999997</v>
      </c>
      <c r="K8" s="3">
        <v>3.68</v>
      </c>
      <c r="L8" s="3">
        <v>3.38</v>
      </c>
      <c r="M8" s="3">
        <v>5.08</v>
      </c>
      <c r="N8" s="3">
        <v>4.55</v>
      </c>
      <c r="O8" s="5">
        <v>57.2</v>
      </c>
      <c r="P8" s="5">
        <v>57.2</v>
      </c>
      <c r="Q8" s="5">
        <f t="shared" si="2"/>
        <v>114.4</v>
      </c>
      <c r="R8" s="4">
        <v>0.76200000000000001</v>
      </c>
      <c r="S8" s="4">
        <v>0.94799999999999995</v>
      </c>
    </row>
    <row r="9" spans="1:19" x14ac:dyDescent="0.35">
      <c r="A9" s="1"/>
      <c r="B9" s="2"/>
      <c r="C9" s="2"/>
      <c r="D9" s="25" t="s">
        <v>29</v>
      </c>
      <c r="E9" s="3">
        <v>60.33</v>
      </c>
      <c r="F9" s="3">
        <v>26.67</v>
      </c>
      <c r="G9" s="4">
        <f t="shared" si="0"/>
        <v>52.51</v>
      </c>
      <c r="H9" s="4">
        <f t="shared" si="0"/>
        <v>20.93</v>
      </c>
      <c r="I9" s="4">
        <f t="shared" si="1"/>
        <v>49.25</v>
      </c>
      <c r="J9" s="4">
        <f t="shared" si="1"/>
        <v>18.850000000000001</v>
      </c>
      <c r="K9" s="3">
        <v>3.91</v>
      </c>
      <c r="L9" s="3">
        <v>2.87</v>
      </c>
      <c r="M9" s="3">
        <v>5.54</v>
      </c>
      <c r="N9" s="3">
        <v>3.91</v>
      </c>
      <c r="O9" s="5">
        <v>44.5</v>
      </c>
      <c r="P9" s="5">
        <v>63.5</v>
      </c>
      <c r="Q9" s="5">
        <f t="shared" si="2"/>
        <v>127</v>
      </c>
      <c r="R9" s="4">
        <v>1.0900000000000001</v>
      </c>
      <c r="S9" s="4">
        <v>1.41</v>
      </c>
    </row>
    <row r="10" spans="1:19" x14ac:dyDescent="0.35">
      <c r="A10" s="1"/>
      <c r="B10" s="2"/>
      <c r="C10" s="2"/>
      <c r="D10" s="25" t="s">
        <v>30</v>
      </c>
      <c r="E10" s="3">
        <v>60.33</v>
      </c>
      <c r="F10" s="3">
        <v>33.4</v>
      </c>
      <c r="G10" s="4">
        <f t="shared" si="0"/>
        <v>52.51</v>
      </c>
      <c r="H10" s="4">
        <f t="shared" si="0"/>
        <v>26.64</v>
      </c>
      <c r="I10" s="4">
        <f t="shared" si="1"/>
        <v>49.25</v>
      </c>
      <c r="J10" s="4">
        <f t="shared" si="1"/>
        <v>24.299999999999997</v>
      </c>
      <c r="K10" s="3">
        <v>3.91</v>
      </c>
      <c r="L10" s="3">
        <v>3.38</v>
      </c>
      <c r="M10" s="3">
        <v>5.54</v>
      </c>
      <c r="N10" s="3">
        <v>4.55</v>
      </c>
      <c r="O10" s="5">
        <v>50.8</v>
      </c>
      <c r="P10" s="5">
        <v>63.5</v>
      </c>
      <c r="Q10" s="5">
        <f t="shared" si="2"/>
        <v>127</v>
      </c>
      <c r="R10" s="4">
        <v>1.1200000000000001</v>
      </c>
      <c r="S10" s="4">
        <v>1.44</v>
      </c>
    </row>
    <row r="11" spans="1:19" x14ac:dyDescent="0.35">
      <c r="A11" s="1"/>
      <c r="B11" s="2"/>
      <c r="C11" s="2"/>
      <c r="D11" s="25" t="s">
        <v>31</v>
      </c>
      <c r="E11" s="3">
        <v>60.33</v>
      </c>
      <c r="F11" s="3">
        <v>48.26</v>
      </c>
      <c r="G11" s="4">
        <f t="shared" si="0"/>
        <v>52.51</v>
      </c>
      <c r="H11" s="4">
        <f t="shared" si="0"/>
        <v>40.9</v>
      </c>
      <c r="I11" s="4">
        <f t="shared" si="1"/>
        <v>49.25</v>
      </c>
      <c r="J11" s="4">
        <f t="shared" si="1"/>
        <v>38.099999999999994</v>
      </c>
      <c r="K11" s="3">
        <v>3.91</v>
      </c>
      <c r="L11" s="3">
        <v>3.68</v>
      </c>
      <c r="M11" s="3">
        <v>5.54</v>
      </c>
      <c r="N11" s="3">
        <v>5.08</v>
      </c>
      <c r="O11" s="5">
        <v>60.3</v>
      </c>
      <c r="P11" s="5">
        <v>63.5</v>
      </c>
      <c r="Q11" s="5">
        <f t="shared" si="2"/>
        <v>127</v>
      </c>
      <c r="R11" s="4">
        <v>1.21</v>
      </c>
      <c r="S11" s="4">
        <v>1.54</v>
      </c>
    </row>
    <row r="12" spans="1:19" x14ac:dyDescent="0.35">
      <c r="A12" s="1"/>
      <c r="B12" s="2"/>
      <c r="C12" s="2"/>
      <c r="D12" s="25" t="s">
        <v>32</v>
      </c>
      <c r="E12" s="3">
        <v>88.9</v>
      </c>
      <c r="F12" s="3">
        <v>33.4</v>
      </c>
      <c r="G12" s="4">
        <f t="shared" si="0"/>
        <v>77.92</v>
      </c>
      <c r="H12" s="4">
        <f t="shared" si="0"/>
        <v>26.64</v>
      </c>
      <c r="I12" s="4">
        <f t="shared" si="1"/>
        <v>73.660000000000011</v>
      </c>
      <c r="J12" s="4">
        <f t="shared" si="1"/>
        <v>24.299999999999997</v>
      </c>
      <c r="K12" s="3">
        <v>5.49</v>
      </c>
      <c r="L12" s="3">
        <v>3.38</v>
      </c>
      <c r="M12" s="3">
        <v>7.62</v>
      </c>
      <c r="N12" s="3">
        <v>4.55</v>
      </c>
      <c r="O12" s="5">
        <v>66.7</v>
      </c>
      <c r="P12" s="5">
        <v>85.7</v>
      </c>
      <c r="Q12" s="5">
        <f t="shared" si="2"/>
        <v>171.4</v>
      </c>
      <c r="R12" s="4">
        <v>2.85</v>
      </c>
      <c r="S12" s="4">
        <v>3.68</v>
      </c>
    </row>
    <row r="13" spans="1:19" x14ac:dyDescent="0.35">
      <c r="A13" s="1"/>
      <c r="B13" s="2"/>
      <c r="C13" s="2"/>
      <c r="D13" s="25" t="s">
        <v>33</v>
      </c>
      <c r="E13" s="3">
        <v>88.9</v>
      </c>
      <c r="F13" s="3">
        <v>48.26</v>
      </c>
      <c r="G13" s="4">
        <f t="shared" si="0"/>
        <v>77.92</v>
      </c>
      <c r="H13" s="4">
        <f t="shared" si="0"/>
        <v>40.9</v>
      </c>
      <c r="I13" s="4">
        <f t="shared" si="1"/>
        <v>73.660000000000011</v>
      </c>
      <c r="J13" s="4">
        <f t="shared" si="1"/>
        <v>38.099999999999994</v>
      </c>
      <c r="K13" s="3">
        <v>5.49</v>
      </c>
      <c r="L13" s="3">
        <v>3.68</v>
      </c>
      <c r="M13" s="3">
        <v>7.62</v>
      </c>
      <c r="N13" s="3">
        <v>5.08</v>
      </c>
      <c r="O13" s="5">
        <v>73</v>
      </c>
      <c r="P13" s="5">
        <v>85.7</v>
      </c>
      <c r="Q13" s="5">
        <f t="shared" si="2"/>
        <v>171.4</v>
      </c>
      <c r="R13" s="4">
        <v>2.92</v>
      </c>
      <c r="S13" s="4">
        <v>3.76</v>
      </c>
    </row>
    <row r="14" spans="1:19" x14ac:dyDescent="0.35">
      <c r="A14" s="1"/>
      <c r="B14" s="2"/>
      <c r="C14" s="2"/>
      <c r="D14" s="25" t="s">
        <v>34</v>
      </c>
      <c r="E14" s="3">
        <v>88.9</v>
      </c>
      <c r="F14" s="3">
        <v>60.33</v>
      </c>
      <c r="G14" s="4">
        <f t="shared" si="0"/>
        <v>77.92</v>
      </c>
      <c r="H14" s="4">
        <f t="shared" si="0"/>
        <v>52.51</v>
      </c>
      <c r="I14" s="4">
        <f t="shared" si="1"/>
        <v>73.660000000000011</v>
      </c>
      <c r="J14" s="4">
        <f t="shared" si="1"/>
        <v>49.25</v>
      </c>
      <c r="K14" s="3">
        <v>5.49</v>
      </c>
      <c r="L14" s="3">
        <v>3.91</v>
      </c>
      <c r="M14" s="3">
        <v>7.62</v>
      </c>
      <c r="N14" s="3">
        <v>5.54</v>
      </c>
      <c r="O14" s="5">
        <v>76.2</v>
      </c>
      <c r="P14" s="5">
        <v>85.7</v>
      </c>
      <c r="Q14" s="5">
        <f t="shared" si="2"/>
        <v>171.4</v>
      </c>
      <c r="R14" s="4">
        <v>2.95</v>
      </c>
      <c r="S14" s="4">
        <v>3.79</v>
      </c>
    </row>
    <row r="15" spans="1:19" x14ac:dyDescent="0.35">
      <c r="A15" s="1"/>
      <c r="B15" s="2"/>
      <c r="C15" s="2"/>
      <c r="D15" s="25" t="s">
        <v>35</v>
      </c>
      <c r="E15" s="3">
        <v>114.3</v>
      </c>
      <c r="F15" s="3">
        <v>48.26</v>
      </c>
      <c r="G15" s="4">
        <f t="shared" si="0"/>
        <v>102.25999999999999</v>
      </c>
      <c r="H15" s="4">
        <f t="shared" si="0"/>
        <v>40.9</v>
      </c>
      <c r="I15" s="4">
        <f t="shared" si="1"/>
        <v>97.179999999999993</v>
      </c>
      <c r="J15" s="4">
        <f t="shared" si="1"/>
        <v>38.099999999999994</v>
      </c>
      <c r="K15" s="3">
        <v>6.02</v>
      </c>
      <c r="L15" s="3">
        <v>3.68</v>
      </c>
      <c r="M15" s="3">
        <v>8.56</v>
      </c>
      <c r="N15" s="3">
        <v>5.08</v>
      </c>
      <c r="O15" s="5">
        <v>85.7</v>
      </c>
      <c r="P15" s="5">
        <v>104.8</v>
      </c>
      <c r="Q15" s="5">
        <f t="shared" si="2"/>
        <v>209.6</v>
      </c>
      <c r="R15" s="4">
        <v>4.9400000000000004</v>
      </c>
      <c r="S15" s="4">
        <v>6.53</v>
      </c>
    </row>
    <row r="16" spans="1:19" x14ac:dyDescent="0.35">
      <c r="A16" s="1"/>
      <c r="B16" s="2"/>
      <c r="C16" s="2"/>
      <c r="D16" s="25" t="s">
        <v>36</v>
      </c>
      <c r="E16" s="3">
        <v>114.3</v>
      </c>
      <c r="F16" s="3">
        <v>60.33</v>
      </c>
      <c r="G16" s="4">
        <f t="shared" si="0"/>
        <v>102.25999999999999</v>
      </c>
      <c r="H16" s="4">
        <f t="shared" si="0"/>
        <v>52.51</v>
      </c>
      <c r="I16" s="4">
        <f t="shared" si="1"/>
        <v>97.179999999999993</v>
      </c>
      <c r="J16" s="4">
        <f t="shared" si="1"/>
        <v>49.25</v>
      </c>
      <c r="K16" s="3">
        <v>6.02</v>
      </c>
      <c r="L16" s="3">
        <v>3.91</v>
      </c>
      <c r="M16" s="3">
        <v>8.56</v>
      </c>
      <c r="N16" s="3">
        <v>5.54</v>
      </c>
      <c r="O16" s="5">
        <v>88.9</v>
      </c>
      <c r="P16" s="5">
        <v>104.8</v>
      </c>
      <c r="Q16" s="5">
        <f t="shared" si="2"/>
        <v>209.6</v>
      </c>
      <c r="R16" s="4">
        <v>4.99</v>
      </c>
      <c r="S16" s="4">
        <v>6.58</v>
      </c>
    </row>
    <row r="17" spans="1:19" x14ac:dyDescent="0.35">
      <c r="A17" s="1"/>
      <c r="B17" s="2"/>
      <c r="C17" s="2"/>
      <c r="D17" s="25" t="s">
        <v>37</v>
      </c>
      <c r="E17" s="3">
        <v>114.3</v>
      </c>
      <c r="F17" s="3">
        <v>88.9</v>
      </c>
      <c r="G17" s="4">
        <f t="shared" si="0"/>
        <v>102.25999999999999</v>
      </c>
      <c r="H17" s="4">
        <f t="shared" si="0"/>
        <v>77.92</v>
      </c>
      <c r="I17" s="4">
        <f t="shared" si="1"/>
        <v>97.179999999999993</v>
      </c>
      <c r="J17" s="4">
        <f t="shared" si="1"/>
        <v>73.660000000000011</v>
      </c>
      <c r="K17" s="3">
        <v>6.02</v>
      </c>
      <c r="L17" s="3">
        <v>5.49</v>
      </c>
      <c r="M17" s="3">
        <v>8.56</v>
      </c>
      <c r="N17" s="3">
        <v>7.62</v>
      </c>
      <c r="O17" s="5">
        <v>98.4</v>
      </c>
      <c r="P17" s="5">
        <v>104.8</v>
      </c>
      <c r="Q17" s="5">
        <f t="shared" si="2"/>
        <v>209.6</v>
      </c>
      <c r="R17" s="4">
        <v>5.17</v>
      </c>
      <c r="S17" s="4">
        <v>6.8</v>
      </c>
    </row>
    <row r="18" spans="1:19" x14ac:dyDescent="0.35">
      <c r="A18" s="1"/>
      <c r="B18" s="2"/>
      <c r="C18" s="2"/>
      <c r="D18" s="25" t="s">
        <v>38</v>
      </c>
      <c r="E18" s="3">
        <v>168.28</v>
      </c>
      <c r="F18" s="3">
        <v>88.9</v>
      </c>
      <c r="G18" s="4">
        <f t="shared" si="0"/>
        <v>154.06</v>
      </c>
      <c r="H18" s="4">
        <f t="shared" si="0"/>
        <v>77.92</v>
      </c>
      <c r="I18" s="4">
        <f t="shared" si="1"/>
        <v>146.34</v>
      </c>
      <c r="J18" s="4">
        <f t="shared" si="1"/>
        <v>73.660000000000011</v>
      </c>
      <c r="K18" s="3">
        <v>7.11</v>
      </c>
      <c r="L18" s="3">
        <v>5.49</v>
      </c>
      <c r="M18" s="3">
        <v>10.97</v>
      </c>
      <c r="N18" s="3">
        <v>7.62</v>
      </c>
      <c r="O18" s="5">
        <v>123.8</v>
      </c>
      <c r="P18" s="5">
        <v>142.9</v>
      </c>
      <c r="Q18" s="5">
        <f t="shared" si="2"/>
        <v>285.8</v>
      </c>
      <c r="R18" s="4">
        <v>11.7</v>
      </c>
      <c r="S18" s="4">
        <v>16.7</v>
      </c>
    </row>
    <row r="19" spans="1:19" x14ac:dyDescent="0.35">
      <c r="A19" s="1"/>
      <c r="B19" s="2"/>
      <c r="C19" s="2"/>
      <c r="D19" s="25" t="s">
        <v>39</v>
      </c>
      <c r="E19" s="3">
        <v>168.28</v>
      </c>
      <c r="F19" s="3">
        <v>114.3</v>
      </c>
      <c r="G19" s="4">
        <f t="shared" si="0"/>
        <v>154.06</v>
      </c>
      <c r="H19" s="4">
        <f t="shared" si="0"/>
        <v>102.25999999999999</v>
      </c>
      <c r="I19" s="4">
        <f t="shared" si="1"/>
        <v>146.34</v>
      </c>
      <c r="J19" s="4">
        <f t="shared" si="1"/>
        <v>97.179999999999993</v>
      </c>
      <c r="K19" s="3">
        <v>7.11</v>
      </c>
      <c r="L19" s="3">
        <v>6.02</v>
      </c>
      <c r="M19" s="3">
        <v>10.97</v>
      </c>
      <c r="N19" s="3">
        <v>8.56</v>
      </c>
      <c r="O19" s="5">
        <v>130.19999999999999</v>
      </c>
      <c r="P19" s="5">
        <v>142.9</v>
      </c>
      <c r="Q19" s="5">
        <f t="shared" si="2"/>
        <v>285.8</v>
      </c>
      <c r="R19" s="4">
        <v>11.9</v>
      </c>
      <c r="S19" s="4">
        <v>16.899999999999999</v>
      </c>
    </row>
    <row r="20" spans="1:19" x14ac:dyDescent="0.35">
      <c r="A20" s="1"/>
      <c r="B20" s="2"/>
      <c r="C20" s="2"/>
      <c r="D20" s="25" t="s">
        <v>40</v>
      </c>
      <c r="E20" s="3">
        <v>168.28</v>
      </c>
      <c r="F20" s="3">
        <v>141.30000000000001</v>
      </c>
      <c r="G20" s="4">
        <f t="shared" si="0"/>
        <v>154.06</v>
      </c>
      <c r="H20" s="4">
        <f t="shared" si="0"/>
        <v>128.20000000000002</v>
      </c>
      <c r="I20" s="4">
        <f t="shared" si="1"/>
        <v>146.34</v>
      </c>
      <c r="J20" s="4">
        <f t="shared" si="1"/>
        <v>122.24000000000001</v>
      </c>
      <c r="K20" s="3">
        <v>7.11</v>
      </c>
      <c r="L20" s="3">
        <v>6.55</v>
      </c>
      <c r="M20" s="3">
        <v>10.97</v>
      </c>
      <c r="N20" s="3">
        <v>9.5299999999999994</v>
      </c>
      <c r="O20" s="5">
        <v>136.5</v>
      </c>
      <c r="P20" s="5">
        <v>142.9</v>
      </c>
      <c r="Q20" s="5">
        <f t="shared" si="2"/>
        <v>285.8</v>
      </c>
      <c r="R20" s="4">
        <v>12.1</v>
      </c>
      <c r="S20" s="4">
        <v>17.100000000000001</v>
      </c>
    </row>
    <row r="21" spans="1:19" x14ac:dyDescent="0.35">
      <c r="A21" s="1"/>
      <c r="B21" s="2"/>
      <c r="C21" s="2"/>
      <c r="D21" s="25" t="s">
        <v>41</v>
      </c>
      <c r="E21" s="3">
        <v>219.08</v>
      </c>
      <c r="F21" s="3">
        <v>88.9</v>
      </c>
      <c r="G21" s="4">
        <f t="shared" si="0"/>
        <v>202.72000000000003</v>
      </c>
      <c r="H21" s="4">
        <f t="shared" si="0"/>
        <v>77.92</v>
      </c>
      <c r="I21" s="4">
        <f t="shared" si="1"/>
        <v>197.14000000000001</v>
      </c>
      <c r="J21" s="4">
        <f t="shared" si="1"/>
        <v>73.660000000000011</v>
      </c>
      <c r="K21" s="3">
        <v>8.18</v>
      </c>
      <c r="L21" s="3">
        <v>5.49</v>
      </c>
      <c r="M21" s="3">
        <v>10.97</v>
      </c>
      <c r="N21" s="3">
        <v>7.62</v>
      </c>
      <c r="O21" s="5">
        <v>152.4</v>
      </c>
      <c r="P21" s="5">
        <v>177.8</v>
      </c>
      <c r="Q21" s="5">
        <f t="shared" si="2"/>
        <v>355.6</v>
      </c>
      <c r="R21" s="4">
        <v>21.6</v>
      </c>
      <c r="S21" s="4">
        <v>31.3</v>
      </c>
    </row>
    <row r="22" spans="1:19" x14ac:dyDescent="0.35">
      <c r="A22" s="1"/>
      <c r="B22" s="2"/>
      <c r="C22" s="2"/>
      <c r="D22" s="25" t="s">
        <v>42</v>
      </c>
      <c r="E22" s="3">
        <v>219.08</v>
      </c>
      <c r="F22" s="3">
        <v>114.3</v>
      </c>
      <c r="G22" s="4">
        <f t="shared" si="0"/>
        <v>202.72000000000003</v>
      </c>
      <c r="H22" s="4">
        <f t="shared" si="0"/>
        <v>102.25999999999999</v>
      </c>
      <c r="I22" s="4">
        <f t="shared" si="1"/>
        <v>193.68</v>
      </c>
      <c r="J22" s="4">
        <f t="shared" si="1"/>
        <v>97.179999999999993</v>
      </c>
      <c r="K22" s="3">
        <v>8.18</v>
      </c>
      <c r="L22" s="3">
        <v>6.02</v>
      </c>
      <c r="M22" s="3">
        <v>12.7</v>
      </c>
      <c r="N22" s="3">
        <v>8.56</v>
      </c>
      <c r="O22" s="5">
        <v>155.6</v>
      </c>
      <c r="P22" s="5">
        <v>177.8</v>
      </c>
      <c r="Q22" s="5">
        <f t="shared" si="2"/>
        <v>355.6</v>
      </c>
      <c r="R22" s="4">
        <v>21.7</v>
      </c>
      <c r="S22" s="4">
        <v>31.4</v>
      </c>
    </row>
    <row r="23" spans="1:19" x14ac:dyDescent="0.35">
      <c r="A23" s="1"/>
      <c r="B23" s="2"/>
      <c r="C23" s="2"/>
      <c r="D23" s="25" t="s">
        <v>43</v>
      </c>
      <c r="E23" s="3">
        <v>219.08</v>
      </c>
      <c r="F23" s="3">
        <v>168.28</v>
      </c>
      <c r="G23" s="4">
        <f t="shared" si="0"/>
        <v>202.72000000000003</v>
      </c>
      <c r="H23" s="4">
        <f t="shared" si="0"/>
        <v>154.06</v>
      </c>
      <c r="I23" s="4">
        <f t="shared" si="1"/>
        <v>193.68</v>
      </c>
      <c r="J23" s="4">
        <f t="shared" si="1"/>
        <v>146.34</v>
      </c>
      <c r="K23" s="3">
        <v>8.18</v>
      </c>
      <c r="L23" s="3">
        <v>7.11</v>
      </c>
      <c r="M23" s="3">
        <v>12.7</v>
      </c>
      <c r="N23" s="3">
        <v>10.97</v>
      </c>
      <c r="O23" s="5">
        <v>168.3</v>
      </c>
      <c r="P23" s="5">
        <v>177.8</v>
      </c>
      <c r="Q23" s="5">
        <f t="shared" si="2"/>
        <v>355.6</v>
      </c>
      <c r="R23" s="4">
        <v>22.1</v>
      </c>
      <c r="S23" s="4">
        <v>31.9</v>
      </c>
    </row>
    <row r="24" spans="1:19" x14ac:dyDescent="0.35">
      <c r="A24" s="1"/>
      <c r="B24" s="2"/>
      <c r="C24" s="2"/>
      <c r="D24" s="25" t="s">
        <v>44</v>
      </c>
      <c r="E24" s="3">
        <v>273.05</v>
      </c>
      <c r="F24" s="3">
        <v>114.3</v>
      </c>
      <c r="G24" s="4">
        <f t="shared" si="0"/>
        <v>254.51000000000002</v>
      </c>
      <c r="H24" s="4">
        <f t="shared" si="0"/>
        <v>102.25999999999999</v>
      </c>
      <c r="I24" s="4">
        <f t="shared" si="1"/>
        <v>247.65</v>
      </c>
      <c r="J24" s="4">
        <f t="shared" si="1"/>
        <v>97.179999999999993</v>
      </c>
      <c r="K24" s="3">
        <v>9.27</v>
      </c>
      <c r="L24" s="3">
        <v>6.02</v>
      </c>
      <c r="M24" s="3">
        <v>12.7</v>
      </c>
      <c r="N24" s="3">
        <v>8.56</v>
      </c>
      <c r="O24" s="5">
        <v>184.2</v>
      </c>
      <c r="P24" s="5">
        <v>215.9</v>
      </c>
      <c r="Q24" s="5">
        <f t="shared" si="2"/>
        <v>431.8</v>
      </c>
      <c r="R24" s="4">
        <v>36.799999999999997</v>
      </c>
      <c r="S24" s="4">
        <v>48.1</v>
      </c>
    </row>
    <row r="25" spans="1:19" x14ac:dyDescent="0.35">
      <c r="A25" s="1"/>
      <c r="B25" s="2"/>
      <c r="C25" s="2"/>
      <c r="D25" s="25" t="s">
        <v>45</v>
      </c>
      <c r="E25" s="3">
        <v>273.05</v>
      </c>
      <c r="F25" s="3">
        <v>168.28</v>
      </c>
      <c r="G25" s="4">
        <f t="shared" si="0"/>
        <v>254.51000000000002</v>
      </c>
      <c r="H25" s="4">
        <f t="shared" si="0"/>
        <v>154.06</v>
      </c>
      <c r="I25" s="4">
        <f t="shared" si="1"/>
        <v>247.65</v>
      </c>
      <c r="J25" s="4">
        <f t="shared" si="1"/>
        <v>146.34</v>
      </c>
      <c r="K25" s="3">
        <v>9.27</v>
      </c>
      <c r="L25" s="3">
        <v>7.11</v>
      </c>
      <c r="M25" s="3">
        <v>12.7</v>
      </c>
      <c r="N25" s="3">
        <v>10.97</v>
      </c>
      <c r="O25" s="5">
        <v>193.7</v>
      </c>
      <c r="P25" s="5">
        <v>215.9</v>
      </c>
      <c r="Q25" s="5">
        <f t="shared" si="2"/>
        <v>431.8</v>
      </c>
      <c r="R25" s="4">
        <v>37.1</v>
      </c>
      <c r="S25" s="4">
        <v>49</v>
      </c>
    </row>
    <row r="26" spans="1:19" x14ac:dyDescent="0.35">
      <c r="A26" s="1"/>
      <c r="B26" s="2"/>
      <c r="C26" s="2"/>
      <c r="D26" s="25" t="s">
        <v>46</v>
      </c>
      <c r="E26" s="3">
        <v>273.05</v>
      </c>
      <c r="F26" s="3">
        <v>219.08</v>
      </c>
      <c r="G26" s="4">
        <f t="shared" si="0"/>
        <v>254.51000000000002</v>
      </c>
      <c r="H26" s="4">
        <f t="shared" si="0"/>
        <v>202.72000000000003</v>
      </c>
      <c r="I26" s="4">
        <f t="shared" si="1"/>
        <v>247.65</v>
      </c>
      <c r="J26" s="4">
        <f t="shared" si="1"/>
        <v>193.68</v>
      </c>
      <c r="K26" s="3">
        <v>9.27</v>
      </c>
      <c r="L26" s="3">
        <v>8.18</v>
      </c>
      <c r="M26" s="3">
        <v>12.7</v>
      </c>
      <c r="N26" s="3">
        <v>12.7</v>
      </c>
      <c r="O26" s="5">
        <v>203.2</v>
      </c>
      <c r="P26" s="5">
        <v>215.9</v>
      </c>
      <c r="Q26" s="5">
        <f t="shared" si="2"/>
        <v>431.8</v>
      </c>
      <c r="R26" s="4">
        <v>37.6</v>
      </c>
      <c r="S26" s="4">
        <v>49.4</v>
      </c>
    </row>
    <row r="27" spans="1:19" x14ac:dyDescent="0.35">
      <c r="A27" s="1"/>
      <c r="B27" s="2"/>
      <c r="C27" s="2"/>
      <c r="D27" s="25" t="s">
        <v>47</v>
      </c>
      <c r="E27" s="3">
        <v>323.85000000000002</v>
      </c>
      <c r="F27" s="3">
        <v>168.28</v>
      </c>
      <c r="G27" s="4">
        <f t="shared" si="0"/>
        <v>304.79000000000002</v>
      </c>
      <c r="H27" s="4">
        <f t="shared" si="0"/>
        <v>154.06</v>
      </c>
      <c r="I27" s="4">
        <f t="shared" si="1"/>
        <v>298.45000000000005</v>
      </c>
      <c r="J27" s="4">
        <f t="shared" si="1"/>
        <v>146.34</v>
      </c>
      <c r="K27" s="3">
        <v>9.5299999999999994</v>
      </c>
      <c r="L27" s="3">
        <v>7.11</v>
      </c>
      <c r="M27" s="3">
        <v>12.7</v>
      </c>
      <c r="N27" s="3">
        <v>10.97</v>
      </c>
      <c r="O27" s="5">
        <v>219.1</v>
      </c>
      <c r="P27" s="5">
        <v>254</v>
      </c>
      <c r="Q27" s="5">
        <f t="shared" si="2"/>
        <v>508</v>
      </c>
      <c r="R27" s="4">
        <v>53.1</v>
      </c>
      <c r="S27" s="4">
        <v>68.5</v>
      </c>
    </row>
    <row r="28" spans="1:19" x14ac:dyDescent="0.35">
      <c r="A28" s="1"/>
      <c r="B28" s="2"/>
      <c r="C28" s="2"/>
      <c r="D28" s="25" t="s">
        <v>48</v>
      </c>
      <c r="E28" s="3">
        <v>323.85000000000002</v>
      </c>
      <c r="F28" s="3">
        <v>219.08</v>
      </c>
      <c r="G28" s="4">
        <f t="shared" si="0"/>
        <v>304.79000000000002</v>
      </c>
      <c r="H28" s="4">
        <f t="shared" si="0"/>
        <v>202.72000000000003</v>
      </c>
      <c r="I28" s="4">
        <f t="shared" si="1"/>
        <v>298.45000000000005</v>
      </c>
      <c r="J28" s="4">
        <f t="shared" si="1"/>
        <v>193.68</v>
      </c>
      <c r="K28" s="3">
        <v>9.5299999999999994</v>
      </c>
      <c r="L28" s="3">
        <v>8.18</v>
      </c>
      <c r="M28" s="3">
        <v>12.7</v>
      </c>
      <c r="N28" s="3">
        <v>12.7</v>
      </c>
      <c r="O28" s="5">
        <v>228.6</v>
      </c>
      <c r="P28" s="5">
        <v>254</v>
      </c>
      <c r="Q28" s="5">
        <f t="shared" si="2"/>
        <v>508</v>
      </c>
      <c r="R28" s="4">
        <v>53.5</v>
      </c>
      <c r="S28" s="4">
        <v>69.400000000000006</v>
      </c>
    </row>
    <row r="29" spans="1:19" x14ac:dyDescent="0.35">
      <c r="A29" s="1"/>
      <c r="B29" s="2"/>
      <c r="C29" s="2"/>
      <c r="D29" s="25" t="s">
        <v>49</v>
      </c>
      <c r="E29" s="3">
        <v>323.85000000000002</v>
      </c>
      <c r="F29" s="3">
        <v>273.05</v>
      </c>
      <c r="G29" s="4">
        <f t="shared" si="0"/>
        <v>304.79000000000002</v>
      </c>
      <c r="H29" s="4">
        <f t="shared" si="0"/>
        <v>254.51000000000002</v>
      </c>
      <c r="I29" s="4">
        <f t="shared" si="1"/>
        <v>298.45000000000005</v>
      </c>
      <c r="J29" s="4">
        <f t="shared" si="1"/>
        <v>247.65</v>
      </c>
      <c r="K29" s="3">
        <v>9.5299999999999994</v>
      </c>
      <c r="L29" s="3">
        <v>9.27</v>
      </c>
      <c r="M29" s="3">
        <v>12.7</v>
      </c>
      <c r="N29" s="3">
        <v>12.7</v>
      </c>
      <c r="O29" s="5">
        <v>241.3</v>
      </c>
      <c r="P29" s="5">
        <v>254</v>
      </c>
      <c r="Q29" s="5">
        <f t="shared" si="2"/>
        <v>508</v>
      </c>
      <c r="R29" s="4">
        <v>54.9</v>
      </c>
      <c r="S29" s="4">
        <v>70.3</v>
      </c>
    </row>
    <row r="30" spans="1:19" x14ac:dyDescent="0.35">
      <c r="A30" s="1"/>
      <c r="B30" s="2"/>
      <c r="C30" s="2"/>
      <c r="D30" s="25" t="s">
        <v>50</v>
      </c>
      <c r="E30" s="3">
        <v>355.6</v>
      </c>
      <c r="F30" s="3">
        <v>168.28</v>
      </c>
      <c r="G30" s="4">
        <f t="shared" si="0"/>
        <v>336.54</v>
      </c>
      <c r="H30" s="4">
        <f t="shared" si="0"/>
        <v>154.06</v>
      </c>
      <c r="I30" s="4">
        <f t="shared" si="1"/>
        <v>330.20000000000005</v>
      </c>
      <c r="J30" s="4">
        <f t="shared" si="1"/>
        <v>146.34</v>
      </c>
      <c r="K30" s="3">
        <v>9.5299999999999994</v>
      </c>
      <c r="L30" s="3">
        <v>7.11</v>
      </c>
      <c r="M30" s="3">
        <v>12.7</v>
      </c>
      <c r="N30" s="3">
        <v>10.97</v>
      </c>
      <c r="O30" s="5">
        <v>238.1</v>
      </c>
      <c r="P30" s="5">
        <v>279.39999999999998</v>
      </c>
      <c r="Q30" s="5">
        <f t="shared" si="2"/>
        <v>558.79999999999995</v>
      </c>
      <c r="R30" s="4">
        <v>64.400000000000006</v>
      </c>
      <c r="S30" s="4">
        <v>83</v>
      </c>
    </row>
    <row r="31" spans="1:19" x14ac:dyDescent="0.35">
      <c r="A31" s="1"/>
      <c r="B31" s="2"/>
      <c r="C31" s="2"/>
      <c r="D31" s="25" t="s">
        <v>51</v>
      </c>
      <c r="E31" s="3">
        <v>355.6</v>
      </c>
      <c r="F31" s="3">
        <v>219.08</v>
      </c>
      <c r="G31" s="4">
        <f t="shared" si="0"/>
        <v>336.54</v>
      </c>
      <c r="H31" s="4">
        <f t="shared" si="0"/>
        <v>202.72000000000003</v>
      </c>
      <c r="I31" s="4">
        <f t="shared" si="1"/>
        <v>330.20000000000005</v>
      </c>
      <c r="J31" s="4">
        <f t="shared" si="1"/>
        <v>193.68</v>
      </c>
      <c r="K31" s="3">
        <v>9.5299999999999994</v>
      </c>
      <c r="L31" s="3">
        <v>8.18</v>
      </c>
      <c r="M31" s="3">
        <v>12.7</v>
      </c>
      <c r="N31" s="3">
        <v>12.7</v>
      </c>
      <c r="O31" s="5">
        <v>247.7</v>
      </c>
      <c r="P31" s="5">
        <v>279.39999999999998</v>
      </c>
      <c r="Q31" s="5">
        <f t="shared" si="2"/>
        <v>558.79999999999995</v>
      </c>
      <c r="R31" s="4">
        <v>64.900000000000006</v>
      </c>
      <c r="S31" s="4">
        <v>83.5</v>
      </c>
    </row>
    <row r="32" spans="1:19" x14ac:dyDescent="0.35">
      <c r="A32" s="1"/>
      <c r="B32" s="2"/>
      <c r="C32" s="2"/>
      <c r="D32" s="25" t="s">
        <v>52</v>
      </c>
      <c r="E32" s="3">
        <v>355.6</v>
      </c>
      <c r="F32" s="3">
        <v>273.05</v>
      </c>
      <c r="G32" s="4">
        <f t="shared" si="0"/>
        <v>336.54</v>
      </c>
      <c r="H32" s="4">
        <f t="shared" si="0"/>
        <v>254.51000000000002</v>
      </c>
      <c r="I32" s="4">
        <f t="shared" si="1"/>
        <v>330.20000000000005</v>
      </c>
      <c r="J32" s="4">
        <f t="shared" si="1"/>
        <v>247.65</v>
      </c>
      <c r="K32" s="3">
        <v>9.5299999999999994</v>
      </c>
      <c r="L32" s="3">
        <v>9.27</v>
      </c>
      <c r="M32" s="3">
        <v>12.7</v>
      </c>
      <c r="N32" s="3">
        <v>12.7</v>
      </c>
      <c r="O32" s="5">
        <v>257.2</v>
      </c>
      <c r="P32" s="5">
        <v>279.39999999999998</v>
      </c>
      <c r="Q32" s="5">
        <f t="shared" si="2"/>
        <v>558.79999999999995</v>
      </c>
      <c r="R32" s="4">
        <v>65.3</v>
      </c>
      <c r="S32" s="4">
        <v>83.9</v>
      </c>
    </row>
    <row r="33" spans="1:19" x14ac:dyDescent="0.35">
      <c r="A33" s="1"/>
      <c r="B33" s="2"/>
      <c r="C33" s="2"/>
      <c r="D33" s="25" t="s">
        <v>53</v>
      </c>
      <c r="E33" s="3">
        <v>355.6</v>
      </c>
      <c r="F33" s="3">
        <v>323.85000000000002</v>
      </c>
      <c r="G33" s="4">
        <f t="shared" si="0"/>
        <v>336.54</v>
      </c>
      <c r="H33" s="4">
        <f t="shared" si="0"/>
        <v>304.79000000000002</v>
      </c>
      <c r="I33" s="4">
        <f t="shared" si="1"/>
        <v>330.20000000000005</v>
      </c>
      <c r="J33" s="4">
        <f t="shared" si="1"/>
        <v>298.45000000000005</v>
      </c>
      <c r="K33" s="3">
        <v>9.5299999999999994</v>
      </c>
      <c r="L33" s="3">
        <v>9.5299999999999994</v>
      </c>
      <c r="M33" s="3">
        <v>12.7</v>
      </c>
      <c r="N33" s="3">
        <v>12.7</v>
      </c>
      <c r="O33" s="5">
        <v>269.89999999999998</v>
      </c>
      <c r="P33" s="5">
        <v>279.39999999999998</v>
      </c>
      <c r="Q33" s="5">
        <f t="shared" si="2"/>
        <v>558.79999999999995</v>
      </c>
      <c r="R33" s="4">
        <v>66.7</v>
      </c>
      <c r="S33" s="4">
        <v>85.7</v>
      </c>
    </row>
    <row r="34" spans="1:19" x14ac:dyDescent="0.35">
      <c r="A34" s="1"/>
      <c r="B34" s="2"/>
      <c r="C34" s="2"/>
      <c r="D34" s="25" t="s">
        <v>54</v>
      </c>
      <c r="E34" s="3">
        <v>406.4</v>
      </c>
      <c r="F34" s="3">
        <v>168.28</v>
      </c>
      <c r="G34" s="4">
        <f t="shared" si="0"/>
        <v>387.34</v>
      </c>
      <c r="H34" s="4">
        <f t="shared" si="0"/>
        <v>154.06</v>
      </c>
      <c r="I34" s="4">
        <f t="shared" si="1"/>
        <v>381</v>
      </c>
      <c r="J34" s="4">
        <f t="shared" si="1"/>
        <v>146.34</v>
      </c>
      <c r="K34" s="3">
        <v>9.5299999999999994</v>
      </c>
      <c r="L34" s="3">
        <v>7.11</v>
      </c>
      <c r="M34" s="3">
        <v>12.7</v>
      </c>
      <c r="N34" s="3">
        <v>10.97</v>
      </c>
      <c r="O34" s="5">
        <v>263.60000000000002</v>
      </c>
      <c r="P34" s="5">
        <v>304.8</v>
      </c>
      <c r="Q34" s="5">
        <f t="shared" si="2"/>
        <v>609.6</v>
      </c>
      <c r="R34" s="4">
        <v>79.8</v>
      </c>
      <c r="S34" s="4">
        <v>101.2</v>
      </c>
    </row>
    <row r="35" spans="1:19" x14ac:dyDescent="0.35">
      <c r="A35" s="1"/>
      <c r="B35" s="2"/>
      <c r="C35" s="2"/>
      <c r="D35" s="25" t="s">
        <v>55</v>
      </c>
      <c r="E35" s="3">
        <v>406.4</v>
      </c>
      <c r="F35" s="3">
        <v>219.08</v>
      </c>
      <c r="G35" s="4">
        <f t="shared" ref="G35:H98" si="3">E35-2*K35</f>
        <v>387.34</v>
      </c>
      <c r="H35" s="4">
        <f t="shared" si="3"/>
        <v>202.72000000000003</v>
      </c>
      <c r="I35" s="4">
        <f t="shared" ref="I35:J98" si="4">E35-2*M35</f>
        <v>381</v>
      </c>
      <c r="J35" s="4">
        <f t="shared" si="4"/>
        <v>193.68</v>
      </c>
      <c r="K35" s="3">
        <v>9.5299999999999994</v>
      </c>
      <c r="L35" s="3">
        <v>8.18</v>
      </c>
      <c r="M35" s="3">
        <v>12.7</v>
      </c>
      <c r="N35" s="3">
        <v>12.7</v>
      </c>
      <c r="O35" s="5">
        <v>273.10000000000002</v>
      </c>
      <c r="P35" s="5">
        <v>304.8</v>
      </c>
      <c r="Q35" s="5">
        <f t="shared" ref="Q35:Q98" si="5">2*P35</f>
        <v>609.6</v>
      </c>
      <c r="R35" s="4">
        <v>83.9</v>
      </c>
      <c r="S35" s="4">
        <v>105.7</v>
      </c>
    </row>
    <row r="36" spans="1:19" x14ac:dyDescent="0.35">
      <c r="A36" s="1"/>
      <c r="B36" s="2"/>
      <c r="C36" s="2"/>
      <c r="D36" s="25" t="s">
        <v>56</v>
      </c>
      <c r="E36" s="3">
        <v>406.4</v>
      </c>
      <c r="F36" s="3">
        <v>273.05</v>
      </c>
      <c r="G36" s="4">
        <f t="shared" si="3"/>
        <v>387.34</v>
      </c>
      <c r="H36" s="4">
        <f t="shared" si="3"/>
        <v>254.51000000000002</v>
      </c>
      <c r="I36" s="4">
        <f t="shared" si="4"/>
        <v>381</v>
      </c>
      <c r="J36" s="4">
        <f t="shared" si="4"/>
        <v>247.65</v>
      </c>
      <c r="K36" s="3">
        <v>9.5299999999999994</v>
      </c>
      <c r="L36" s="3">
        <v>9.27</v>
      </c>
      <c r="M36" s="3">
        <v>12.7</v>
      </c>
      <c r="N36" s="3">
        <v>12.7</v>
      </c>
      <c r="O36" s="5">
        <v>282.60000000000002</v>
      </c>
      <c r="P36" s="5">
        <v>304.8</v>
      </c>
      <c r="Q36" s="5">
        <f t="shared" si="5"/>
        <v>609.6</v>
      </c>
      <c r="R36" s="4">
        <v>88.5</v>
      </c>
      <c r="S36" s="4">
        <v>110.7</v>
      </c>
    </row>
    <row r="37" spans="1:19" x14ac:dyDescent="0.35">
      <c r="A37" s="1"/>
      <c r="B37" s="2"/>
      <c r="C37" s="2"/>
      <c r="D37" s="25" t="s">
        <v>57</v>
      </c>
      <c r="E37" s="3">
        <v>406.4</v>
      </c>
      <c r="F37" s="3">
        <v>323.85000000000002</v>
      </c>
      <c r="G37" s="4">
        <f t="shared" si="3"/>
        <v>387.34</v>
      </c>
      <c r="H37" s="4">
        <f t="shared" si="3"/>
        <v>304.79000000000002</v>
      </c>
      <c r="I37" s="4">
        <f t="shared" si="4"/>
        <v>381</v>
      </c>
      <c r="J37" s="4">
        <f t="shared" si="4"/>
        <v>298.45000000000005</v>
      </c>
      <c r="K37" s="3">
        <v>9.5299999999999994</v>
      </c>
      <c r="L37" s="3">
        <v>9.5299999999999994</v>
      </c>
      <c r="M37" s="3">
        <v>12.7</v>
      </c>
      <c r="N37" s="3">
        <v>12.7</v>
      </c>
      <c r="O37" s="5">
        <v>295.3</v>
      </c>
      <c r="P37" s="5">
        <v>304.8</v>
      </c>
      <c r="Q37" s="5">
        <f t="shared" si="5"/>
        <v>609.6</v>
      </c>
      <c r="R37" s="4">
        <v>92.5</v>
      </c>
      <c r="S37" s="4">
        <v>115.7</v>
      </c>
    </row>
    <row r="38" spans="1:19" x14ac:dyDescent="0.35">
      <c r="A38" s="1"/>
      <c r="B38" s="2"/>
      <c r="C38" s="2"/>
      <c r="D38" s="25" t="s">
        <v>58</v>
      </c>
      <c r="E38" s="3">
        <v>406.4</v>
      </c>
      <c r="F38" s="3">
        <v>355.6</v>
      </c>
      <c r="G38" s="4">
        <f t="shared" si="3"/>
        <v>387.34</v>
      </c>
      <c r="H38" s="4">
        <f t="shared" si="3"/>
        <v>336.54</v>
      </c>
      <c r="I38" s="4">
        <f t="shared" si="4"/>
        <v>381</v>
      </c>
      <c r="J38" s="4">
        <f t="shared" si="4"/>
        <v>330.20000000000005</v>
      </c>
      <c r="K38" s="3">
        <v>9.5299999999999994</v>
      </c>
      <c r="L38" s="3">
        <v>9.5299999999999994</v>
      </c>
      <c r="M38" s="3">
        <v>12.7</v>
      </c>
      <c r="N38" s="3">
        <v>12.7</v>
      </c>
      <c r="O38" s="5">
        <v>304.8</v>
      </c>
      <c r="P38" s="5">
        <v>304.8</v>
      </c>
      <c r="Q38" s="5">
        <f t="shared" si="5"/>
        <v>609.6</v>
      </c>
      <c r="R38" s="4">
        <v>95.3</v>
      </c>
      <c r="S38" s="4">
        <v>118.4</v>
      </c>
    </row>
    <row r="39" spans="1:19" x14ac:dyDescent="0.35">
      <c r="A39" s="1"/>
      <c r="B39" s="2"/>
      <c r="C39" s="2"/>
      <c r="D39" s="25" t="s">
        <v>59</v>
      </c>
      <c r="E39" s="3">
        <v>457.2</v>
      </c>
      <c r="F39" s="3">
        <v>219.08</v>
      </c>
      <c r="G39" s="4">
        <f t="shared" si="3"/>
        <v>438.14</v>
      </c>
      <c r="H39" s="4">
        <f t="shared" si="3"/>
        <v>202.72000000000003</v>
      </c>
      <c r="I39" s="4">
        <f t="shared" si="4"/>
        <v>431.8</v>
      </c>
      <c r="J39" s="4">
        <f t="shared" si="4"/>
        <v>193.68</v>
      </c>
      <c r="K39" s="3">
        <v>9.5299999999999994</v>
      </c>
      <c r="L39" s="3">
        <v>8.18</v>
      </c>
      <c r="M39" s="3">
        <v>12.7</v>
      </c>
      <c r="N39" s="3">
        <v>12.7</v>
      </c>
      <c r="O39" s="5">
        <v>299.5</v>
      </c>
      <c r="P39" s="5">
        <v>342.9</v>
      </c>
      <c r="Q39" s="5">
        <f t="shared" si="5"/>
        <v>685.8</v>
      </c>
      <c r="R39" s="4">
        <v>104.8</v>
      </c>
      <c r="S39" s="4">
        <v>133.4</v>
      </c>
    </row>
    <row r="40" spans="1:19" x14ac:dyDescent="0.35">
      <c r="A40" s="1"/>
      <c r="B40" s="2"/>
      <c r="C40" s="2"/>
      <c r="D40" s="25" t="s">
        <v>60</v>
      </c>
      <c r="E40" s="3">
        <v>457.2</v>
      </c>
      <c r="F40" s="3">
        <v>273.05</v>
      </c>
      <c r="G40" s="4">
        <f t="shared" si="3"/>
        <v>438.14</v>
      </c>
      <c r="H40" s="4">
        <f t="shared" si="3"/>
        <v>254.51000000000002</v>
      </c>
      <c r="I40" s="4">
        <f t="shared" si="4"/>
        <v>431.8</v>
      </c>
      <c r="J40" s="4">
        <f t="shared" si="4"/>
        <v>247.65</v>
      </c>
      <c r="K40" s="3">
        <v>9.5299999999999994</v>
      </c>
      <c r="L40" s="3">
        <v>9.27</v>
      </c>
      <c r="M40" s="3">
        <v>12.7</v>
      </c>
      <c r="N40" s="3">
        <v>12.7</v>
      </c>
      <c r="O40" s="5">
        <v>308</v>
      </c>
      <c r="P40" s="5">
        <v>342.9</v>
      </c>
      <c r="Q40" s="5">
        <f t="shared" si="5"/>
        <v>685.8</v>
      </c>
      <c r="R40" s="4">
        <v>110.7</v>
      </c>
      <c r="S40" s="4">
        <v>139.30000000000001</v>
      </c>
    </row>
    <row r="41" spans="1:19" x14ac:dyDescent="0.35">
      <c r="A41" s="1"/>
      <c r="B41" s="2"/>
      <c r="C41" s="2"/>
      <c r="D41" s="25" t="s">
        <v>61</v>
      </c>
      <c r="E41" s="3">
        <v>457.2</v>
      </c>
      <c r="F41" s="3">
        <v>323.85000000000002</v>
      </c>
      <c r="G41" s="4">
        <f t="shared" si="3"/>
        <v>438.14</v>
      </c>
      <c r="H41" s="4">
        <f t="shared" si="3"/>
        <v>304.79000000000002</v>
      </c>
      <c r="I41" s="4">
        <f t="shared" si="4"/>
        <v>431.8</v>
      </c>
      <c r="J41" s="4">
        <f t="shared" si="4"/>
        <v>298.45000000000005</v>
      </c>
      <c r="K41" s="3">
        <v>9.5299999999999994</v>
      </c>
      <c r="L41" s="3">
        <v>9.5299999999999994</v>
      </c>
      <c r="M41" s="3">
        <v>12.7</v>
      </c>
      <c r="N41" s="3">
        <v>12.7</v>
      </c>
      <c r="O41" s="5">
        <v>320.7</v>
      </c>
      <c r="P41" s="5">
        <v>342.9</v>
      </c>
      <c r="Q41" s="5">
        <f t="shared" si="5"/>
        <v>685.8</v>
      </c>
      <c r="R41" s="4">
        <v>118.2</v>
      </c>
      <c r="S41" s="4">
        <v>145.1</v>
      </c>
    </row>
    <row r="42" spans="1:19" x14ac:dyDescent="0.35">
      <c r="A42" s="1"/>
      <c r="B42" s="2"/>
      <c r="C42" s="2"/>
      <c r="D42" s="25" t="s">
        <v>62</v>
      </c>
      <c r="E42" s="3">
        <v>457.2</v>
      </c>
      <c r="F42" s="3">
        <v>355.6</v>
      </c>
      <c r="G42" s="4">
        <f t="shared" si="3"/>
        <v>438.14</v>
      </c>
      <c r="H42" s="4">
        <f t="shared" si="3"/>
        <v>336.54</v>
      </c>
      <c r="I42" s="4">
        <f t="shared" si="4"/>
        <v>431.8</v>
      </c>
      <c r="J42" s="4">
        <f t="shared" si="4"/>
        <v>330.20000000000005</v>
      </c>
      <c r="K42" s="3">
        <v>9.5299999999999994</v>
      </c>
      <c r="L42" s="3">
        <v>9.5299999999999994</v>
      </c>
      <c r="M42" s="3">
        <v>12.7</v>
      </c>
      <c r="N42" s="3">
        <v>12.7</v>
      </c>
      <c r="O42" s="5">
        <v>330.2</v>
      </c>
      <c r="P42" s="5">
        <v>342.9</v>
      </c>
      <c r="Q42" s="5">
        <f t="shared" si="5"/>
        <v>685.8</v>
      </c>
      <c r="R42" s="4">
        <v>118.2</v>
      </c>
      <c r="S42" s="4">
        <v>148.80000000000001</v>
      </c>
    </row>
    <row r="43" spans="1:19" x14ac:dyDescent="0.35">
      <c r="A43" s="1"/>
      <c r="B43" s="2"/>
      <c r="C43" s="2"/>
      <c r="D43" s="25" t="s">
        <v>63</v>
      </c>
      <c r="E43" s="3">
        <v>457.2</v>
      </c>
      <c r="F43" s="3">
        <v>406.4</v>
      </c>
      <c r="G43" s="4">
        <f t="shared" si="3"/>
        <v>438.14</v>
      </c>
      <c r="H43" s="4">
        <f t="shared" si="3"/>
        <v>387.34</v>
      </c>
      <c r="I43" s="4">
        <f t="shared" si="4"/>
        <v>431.8</v>
      </c>
      <c r="J43" s="4">
        <f t="shared" si="4"/>
        <v>381</v>
      </c>
      <c r="K43" s="3">
        <v>9.5299999999999994</v>
      </c>
      <c r="L43" s="3">
        <v>9.5299999999999994</v>
      </c>
      <c r="M43" s="3">
        <v>12.7</v>
      </c>
      <c r="N43" s="3">
        <v>12.7</v>
      </c>
      <c r="O43" s="5">
        <v>330.2</v>
      </c>
      <c r="P43" s="5">
        <v>342.9</v>
      </c>
      <c r="Q43" s="5">
        <f t="shared" si="5"/>
        <v>685.8</v>
      </c>
      <c r="R43" s="4">
        <v>122</v>
      </c>
      <c r="S43" s="4">
        <v>152.4</v>
      </c>
    </row>
    <row r="44" spans="1:19" x14ac:dyDescent="0.35">
      <c r="A44" s="1"/>
      <c r="B44" s="2"/>
      <c r="C44" s="2"/>
      <c r="D44" s="25" t="s">
        <v>64</v>
      </c>
      <c r="E44" s="3">
        <v>508</v>
      </c>
      <c r="F44" s="3">
        <v>219.08</v>
      </c>
      <c r="G44" s="4">
        <f t="shared" si="3"/>
        <v>488.94</v>
      </c>
      <c r="H44" s="4">
        <f t="shared" si="3"/>
        <v>202.72000000000003</v>
      </c>
      <c r="I44" s="4">
        <f t="shared" si="4"/>
        <v>482.6</v>
      </c>
      <c r="J44" s="4">
        <f t="shared" si="4"/>
        <v>193.68</v>
      </c>
      <c r="K44" s="3">
        <v>9.5299999999999994</v>
      </c>
      <c r="L44" s="3">
        <v>8.18</v>
      </c>
      <c r="M44" s="3">
        <v>12.7</v>
      </c>
      <c r="N44" s="3">
        <v>12.7</v>
      </c>
      <c r="O44" s="5">
        <v>323.89999999999998</v>
      </c>
      <c r="P44" s="5">
        <v>381</v>
      </c>
      <c r="Q44" s="5">
        <f t="shared" si="5"/>
        <v>762</v>
      </c>
      <c r="R44" s="4">
        <v>127.9</v>
      </c>
      <c r="S44" s="4">
        <v>163.69999999999999</v>
      </c>
    </row>
    <row r="45" spans="1:19" x14ac:dyDescent="0.35">
      <c r="A45" s="1"/>
      <c r="B45" s="2"/>
      <c r="C45" s="2"/>
      <c r="D45" s="25" t="s">
        <v>65</v>
      </c>
      <c r="E45" s="3">
        <v>508</v>
      </c>
      <c r="F45" s="3">
        <v>273.05</v>
      </c>
      <c r="G45" s="4">
        <f t="shared" si="3"/>
        <v>488.94</v>
      </c>
      <c r="H45" s="4">
        <f t="shared" si="3"/>
        <v>254.51000000000002</v>
      </c>
      <c r="I45" s="4">
        <f t="shared" si="4"/>
        <v>482.6</v>
      </c>
      <c r="J45" s="4">
        <f t="shared" si="4"/>
        <v>247.65</v>
      </c>
      <c r="K45" s="3">
        <v>9.5299999999999994</v>
      </c>
      <c r="L45" s="3">
        <v>9.27</v>
      </c>
      <c r="M45" s="3">
        <v>12.7</v>
      </c>
      <c r="N45" s="3">
        <v>12.7</v>
      </c>
      <c r="O45" s="5">
        <v>333.4</v>
      </c>
      <c r="P45" s="5">
        <v>381</v>
      </c>
      <c r="Q45" s="5">
        <f t="shared" si="5"/>
        <v>762</v>
      </c>
      <c r="R45" s="4">
        <v>133.80000000000001</v>
      </c>
      <c r="S45" s="4">
        <v>170.6</v>
      </c>
    </row>
    <row r="46" spans="1:19" x14ac:dyDescent="0.35">
      <c r="A46" s="1"/>
      <c r="B46" s="2"/>
      <c r="C46" s="2"/>
      <c r="D46" s="25" t="s">
        <v>66</v>
      </c>
      <c r="E46" s="3">
        <v>508</v>
      </c>
      <c r="F46" s="3">
        <v>323.85000000000002</v>
      </c>
      <c r="G46" s="4">
        <f t="shared" si="3"/>
        <v>488.94</v>
      </c>
      <c r="H46" s="4">
        <f t="shared" si="3"/>
        <v>304.79000000000002</v>
      </c>
      <c r="I46" s="4">
        <f t="shared" si="4"/>
        <v>482.6</v>
      </c>
      <c r="J46" s="4">
        <f t="shared" si="4"/>
        <v>298.45000000000005</v>
      </c>
      <c r="K46" s="3">
        <v>9.5299999999999994</v>
      </c>
      <c r="L46" s="3">
        <v>9.5299999999999994</v>
      </c>
      <c r="M46" s="3">
        <v>12.7</v>
      </c>
      <c r="N46" s="3">
        <v>12.7</v>
      </c>
      <c r="O46" s="5">
        <v>348.1</v>
      </c>
      <c r="P46" s="5">
        <v>381</v>
      </c>
      <c r="Q46" s="5">
        <f t="shared" si="5"/>
        <v>762</v>
      </c>
      <c r="R46" s="4">
        <v>139.69999999999999</v>
      </c>
      <c r="S46" s="4">
        <v>175.9</v>
      </c>
    </row>
    <row r="47" spans="1:19" x14ac:dyDescent="0.35">
      <c r="A47" s="1"/>
      <c r="B47" s="2"/>
      <c r="C47" s="2"/>
      <c r="D47" s="25" t="s">
        <v>67</v>
      </c>
      <c r="E47" s="3">
        <v>508</v>
      </c>
      <c r="F47" s="3">
        <v>355.6</v>
      </c>
      <c r="G47" s="4">
        <f t="shared" si="3"/>
        <v>488.94</v>
      </c>
      <c r="H47" s="4">
        <f t="shared" si="3"/>
        <v>336.54</v>
      </c>
      <c r="I47" s="4">
        <f t="shared" si="4"/>
        <v>482.6</v>
      </c>
      <c r="J47" s="4">
        <f t="shared" si="4"/>
        <v>330.20000000000005</v>
      </c>
      <c r="K47" s="3">
        <v>9.5299999999999994</v>
      </c>
      <c r="L47" s="3">
        <v>9.5299999999999994</v>
      </c>
      <c r="M47" s="3">
        <v>12.7</v>
      </c>
      <c r="N47" s="3">
        <v>12.7</v>
      </c>
      <c r="O47" s="5">
        <v>355.6</v>
      </c>
      <c r="P47" s="5">
        <v>381</v>
      </c>
      <c r="Q47" s="5">
        <f t="shared" si="5"/>
        <v>762</v>
      </c>
      <c r="R47" s="4">
        <v>143.30000000000001</v>
      </c>
      <c r="S47" s="4">
        <v>181</v>
      </c>
    </row>
    <row r="48" spans="1:19" x14ac:dyDescent="0.35">
      <c r="A48" s="1"/>
      <c r="B48" s="2"/>
      <c r="C48" s="2"/>
      <c r="D48" s="25" t="s">
        <v>68</v>
      </c>
      <c r="E48" s="3">
        <v>508</v>
      </c>
      <c r="F48" s="3">
        <v>406.4</v>
      </c>
      <c r="G48" s="4">
        <f t="shared" si="3"/>
        <v>488.94</v>
      </c>
      <c r="H48" s="4">
        <f t="shared" si="3"/>
        <v>387.34</v>
      </c>
      <c r="I48" s="4">
        <f t="shared" si="4"/>
        <v>482.6</v>
      </c>
      <c r="J48" s="4">
        <f t="shared" si="4"/>
        <v>381</v>
      </c>
      <c r="K48" s="3">
        <v>9.5299999999999994</v>
      </c>
      <c r="L48" s="3">
        <v>9.5299999999999994</v>
      </c>
      <c r="M48" s="3">
        <v>12.7</v>
      </c>
      <c r="N48" s="3">
        <v>12.7</v>
      </c>
      <c r="O48" s="5">
        <v>355.6</v>
      </c>
      <c r="P48" s="5">
        <v>381</v>
      </c>
      <c r="Q48" s="5">
        <f t="shared" si="5"/>
        <v>762</v>
      </c>
      <c r="R48" s="4">
        <v>149.19999999999999</v>
      </c>
      <c r="S48" s="4">
        <v>187.3</v>
      </c>
    </row>
    <row r="49" spans="1:19" x14ac:dyDescent="0.35">
      <c r="A49" s="1"/>
      <c r="B49" s="2"/>
      <c r="C49" s="2"/>
      <c r="D49" s="25" t="s">
        <v>69</v>
      </c>
      <c r="E49" s="3">
        <v>508</v>
      </c>
      <c r="F49" s="3">
        <v>457.2</v>
      </c>
      <c r="G49" s="4">
        <f t="shared" si="3"/>
        <v>488.94</v>
      </c>
      <c r="H49" s="4">
        <f t="shared" si="3"/>
        <v>438.14</v>
      </c>
      <c r="I49" s="4">
        <f t="shared" si="4"/>
        <v>482.6</v>
      </c>
      <c r="J49" s="4">
        <f t="shared" si="4"/>
        <v>431.8</v>
      </c>
      <c r="K49" s="3">
        <v>9.5299999999999994</v>
      </c>
      <c r="L49" s="3">
        <v>9.5299999999999994</v>
      </c>
      <c r="M49" s="3">
        <v>12.7</v>
      </c>
      <c r="N49" s="3">
        <v>12.7</v>
      </c>
      <c r="O49" s="5">
        <v>368.3</v>
      </c>
      <c r="P49" s="5">
        <v>381</v>
      </c>
      <c r="Q49" s="5">
        <f t="shared" si="5"/>
        <v>762</v>
      </c>
      <c r="R49" s="4">
        <v>155.1</v>
      </c>
      <c r="S49" s="4">
        <v>193.7</v>
      </c>
    </row>
    <row r="50" spans="1:19" x14ac:dyDescent="0.35">
      <c r="A50" s="1"/>
      <c r="B50" s="2"/>
      <c r="C50" s="2"/>
      <c r="D50" s="25" t="s">
        <v>70</v>
      </c>
      <c r="E50" s="3">
        <v>558.79999999999995</v>
      </c>
      <c r="F50" s="3">
        <v>323.85000000000002</v>
      </c>
      <c r="G50" s="4">
        <f t="shared" si="3"/>
        <v>539.74</v>
      </c>
      <c r="H50" s="4">
        <f t="shared" si="3"/>
        <v>304.79000000000002</v>
      </c>
      <c r="I50" s="4">
        <f t="shared" si="4"/>
        <v>533.4</v>
      </c>
      <c r="J50" s="4">
        <f t="shared" si="4"/>
        <v>298.45000000000005</v>
      </c>
      <c r="K50" s="3">
        <v>9.5299999999999994</v>
      </c>
      <c r="L50" s="3">
        <v>9.5299999999999994</v>
      </c>
      <c r="M50" s="3">
        <v>12.7</v>
      </c>
      <c r="N50" s="3">
        <v>12.7</v>
      </c>
      <c r="O50" s="5">
        <v>371.5</v>
      </c>
      <c r="P50" s="5">
        <v>419.1</v>
      </c>
      <c r="Q50" s="5">
        <f t="shared" si="5"/>
        <v>838.2</v>
      </c>
      <c r="R50" s="4">
        <v>171</v>
      </c>
      <c r="S50" s="4">
        <v>212.2</v>
      </c>
    </row>
    <row r="51" spans="1:19" x14ac:dyDescent="0.35">
      <c r="A51" s="1"/>
      <c r="B51" s="2"/>
      <c r="C51" s="2"/>
      <c r="D51" s="25" t="s">
        <v>71</v>
      </c>
      <c r="E51" s="3">
        <v>558.79999999999995</v>
      </c>
      <c r="F51" s="3">
        <v>355.6</v>
      </c>
      <c r="G51" s="4">
        <f t="shared" si="3"/>
        <v>539.74</v>
      </c>
      <c r="H51" s="4">
        <f t="shared" si="3"/>
        <v>336.54</v>
      </c>
      <c r="I51" s="4">
        <f t="shared" si="4"/>
        <v>533.4</v>
      </c>
      <c r="J51" s="4">
        <f t="shared" si="4"/>
        <v>330.20000000000005</v>
      </c>
      <c r="K51" s="3">
        <v>9.5299999999999994</v>
      </c>
      <c r="L51" s="3">
        <v>9.5299999999999994</v>
      </c>
      <c r="M51" s="3">
        <v>12.7</v>
      </c>
      <c r="N51" s="3">
        <v>12.7</v>
      </c>
      <c r="O51" s="5">
        <v>381</v>
      </c>
      <c r="P51" s="5">
        <v>419.1</v>
      </c>
      <c r="Q51" s="5">
        <f t="shared" si="5"/>
        <v>838.2</v>
      </c>
      <c r="R51" s="4">
        <v>172.4</v>
      </c>
      <c r="S51" s="4">
        <v>217.3</v>
      </c>
    </row>
    <row r="52" spans="1:19" x14ac:dyDescent="0.35">
      <c r="A52" s="1"/>
      <c r="B52" s="2"/>
      <c r="C52" s="2"/>
      <c r="D52" s="25" t="s">
        <v>72</v>
      </c>
      <c r="E52" s="3">
        <v>558.79999999999995</v>
      </c>
      <c r="F52" s="3">
        <v>406.4</v>
      </c>
      <c r="G52" s="4">
        <f t="shared" si="3"/>
        <v>539.74</v>
      </c>
      <c r="H52" s="4">
        <f t="shared" si="3"/>
        <v>387.34</v>
      </c>
      <c r="I52" s="4">
        <f t="shared" si="4"/>
        <v>533.4</v>
      </c>
      <c r="J52" s="4">
        <f t="shared" si="4"/>
        <v>381</v>
      </c>
      <c r="K52" s="3">
        <v>9.5299999999999994</v>
      </c>
      <c r="L52" s="3">
        <v>9.5299999999999994</v>
      </c>
      <c r="M52" s="3">
        <v>12.7</v>
      </c>
      <c r="N52" s="3">
        <v>12.7</v>
      </c>
      <c r="O52" s="5">
        <v>381</v>
      </c>
      <c r="P52" s="5">
        <v>419.1</v>
      </c>
      <c r="Q52" s="5">
        <f t="shared" si="5"/>
        <v>838.2</v>
      </c>
      <c r="R52" s="4">
        <v>178.7</v>
      </c>
      <c r="S52" s="4">
        <v>225.4</v>
      </c>
    </row>
    <row r="53" spans="1:19" x14ac:dyDescent="0.35">
      <c r="A53" s="1"/>
      <c r="B53" s="2"/>
      <c r="C53" s="2"/>
      <c r="D53" s="25" t="s">
        <v>73</v>
      </c>
      <c r="E53" s="3">
        <v>558.79999999999995</v>
      </c>
      <c r="F53" s="3">
        <v>457.2</v>
      </c>
      <c r="G53" s="4">
        <f t="shared" si="3"/>
        <v>539.74</v>
      </c>
      <c r="H53" s="4">
        <f t="shared" si="3"/>
        <v>438.14</v>
      </c>
      <c r="I53" s="4">
        <f t="shared" si="4"/>
        <v>533.4</v>
      </c>
      <c r="J53" s="4">
        <f t="shared" si="4"/>
        <v>431.8</v>
      </c>
      <c r="K53" s="3">
        <v>9.5299999999999994</v>
      </c>
      <c r="L53" s="3">
        <v>9.5299999999999994</v>
      </c>
      <c r="M53" s="3">
        <v>12.7</v>
      </c>
      <c r="N53" s="3">
        <v>12.7</v>
      </c>
      <c r="O53" s="5">
        <v>393.7</v>
      </c>
      <c r="P53" s="5">
        <v>419.1</v>
      </c>
      <c r="Q53" s="5">
        <f t="shared" si="5"/>
        <v>838.2</v>
      </c>
      <c r="R53" s="4">
        <v>188.1</v>
      </c>
      <c r="S53" s="4">
        <v>233.2</v>
      </c>
    </row>
    <row r="54" spans="1:19" x14ac:dyDescent="0.35">
      <c r="A54" s="1"/>
      <c r="B54" s="2"/>
      <c r="C54" s="2"/>
      <c r="D54" s="25" t="s">
        <v>74</v>
      </c>
      <c r="E54" s="3">
        <v>558.79999999999995</v>
      </c>
      <c r="F54" s="3">
        <v>508</v>
      </c>
      <c r="G54" s="4">
        <f t="shared" si="3"/>
        <v>539.74</v>
      </c>
      <c r="H54" s="4">
        <f t="shared" si="3"/>
        <v>488.94</v>
      </c>
      <c r="I54" s="4">
        <f t="shared" si="4"/>
        <v>533.4</v>
      </c>
      <c r="J54" s="4">
        <f t="shared" si="4"/>
        <v>482.6</v>
      </c>
      <c r="K54" s="3">
        <v>9.5299999999999994</v>
      </c>
      <c r="L54" s="3">
        <v>9.5299999999999994</v>
      </c>
      <c r="M54" s="3">
        <v>12.7</v>
      </c>
      <c r="N54" s="3">
        <v>12.7</v>
      </c>
      <c r="O54" s="5">
        <v>406.4</v>
      </c>
      <c r="P54" s="5">
        <v>419.1</v>
      </c>
      <c r="Q54" s="5">
        <f t="shared" si="5"/>
        <v>838.2</v>
      </c>
      <c r="R54" s="4">
        <v>191.9</v>
      </c>
      <c r="S54" s="4">
        <v>241.3</v>
      </c>
    </row>
    <row r="55" spans="1:19" x14ac:dyDescent="0.35">
      <c r="A55" s="1"/>
      <c r="B55" s="2"/>
      <c r="C55" s="2"/>
      <c r="D55" s="25" t="s">
        <v>75</v>
      </c>
      <c r="E55" s="3">
        <v>609.6</v>
      </c>
      <c r="F55" s="3">
        <v>273.05</v>
      </c>
      <c r="G55" s="4">
        <f t="shared" si="3"/>
        <v>590.54000000000008</v>
      </c>
      <c r="H55" s="4">
        <f t="shared" si="3"/>
        <v>253.99</v>
      </c>
      <c r="I55" s="4">
        <f t="shared" si="4"/>
        <v>584.20000000000005</v>
      </c>
      <c r="J55" s="4">
        <f t="shared" si="4"/>
        <v>247.65</v>
      </c>
      <c r="K55" s="3">
        <v>9.5299999999999994</v>
      </c>
      <c r="L55" s="3">
        <v>9.5299999999999994</v>
      </c>
      <c r="M55" s="3">
        <v>12.7</v>
      </c>
      <c r="N55" s="3">
        <v>12.7</v>
      </c>
      <c r="O55" s="5">
        <v>384.2</v>
      </c>
      <c r="P55" s="5">
        <v>431.8</v>
      </c>
      <c r="Q55" s="5">
        <f t="shared" si="5"/>
        <v>863.6</v>
      </c>
      <c r="R55" s="4">
        <v>178.7</v>
      </c>
      <c r="S55" s="4">
        <v>227.7</v>
      </c>
    </row>
    <row r="56" spans="1:19" x14ac:dyDescent="0.35">
      <c r="A56" s="1"/>
      <c r="B56" s="2"/>
      <c r="C56" s="2"/>
      <c r="D56" s="25" t="s">
        <v>76</v>
      </c>
      <c r="E56" s="3">
        <v>609.6</v>
      </c>
      <c r="F56" s="3">
        <v>323.85000000000002</v>
      </c>
      <c r="G56" s="4">
        <f t="shared" si="3"/>
        <v>590.54000000000008</v>
      </c>
      <c r="H56" s="4">
        <f t="shared" si="3"/>
        <v>304.79000000000002</v>
      </c>
      <c r="I56" s="4">
        <f t="shared" si="4"/>
        <v>584.20000000000005</v>
      </c>
      <c r="J56" s="4">
        <f t="shared" si="4"/>
        <v>298.45000000000005</v>
      </c>
      <c r="K56" s="3">
        <v>9.5299999999999994</v>
      </c>
      <c r="L56" s="3">
        <v>9.5299999999999994</v>
      </c>
      <c r="M56" s="3">
        <v>12.7</v>
      </c>
      <c r="N56" s="3">
        <v>12.7</v>
      </c>
      <c r="O56" s="5">
        <v>396.9</v>
      </c>
      <c r="P56" s="5">
        <v>431.8</v>
      </c>
      <c r="Q56" s="5">
        <f t="shared" si="5"/>
        <v>863.6</v>
      </c>
      <c r="R56" s="4">
        <v>188.8</v>
      </c>
      <c r="S56" s="4">
        <v>235</v>
      </c>
    </row>
    <row r="57" spans="1:19" x14ac:dyDescent="0.35">
      <c r="A57" s="1"/>
      <c r="B57" s="2"/>
      <c r="C57" s="2"/>
      <c r="D57" s="25" t="s">
        <v>77</v>
      </c>
      <c r="E57" s="3">
        <v>609.6</v>
      </c>
      <c r="F57" s="3">
        <v>355.6</v>
      </c>
      <c r="G57" s="4">
        <f t="shared" si="3"/>
        <v>590.54000000000008</v>
      </c>
      <c r="H57" s="4">
        <f t="shared" si="3"/>
        <v>336.54</v>
      </c>
      <c r="I57" s="4">
        <f t="shared" si="4"/>
        <v>584.20000000000005</v>
      </c>
      <c r="J57" s="4">
        <f t="shared" si="4"/>
        <v>330.20000000000005</v>
      </c>
      <c r="K57" s="3">
        <v>9.5299999999999994</v>
      </c>
      <c r="L57" s="3">
        <v>9.5299999999999994</v>
      </c>
      <c r="M57" s="3">
        <v>12.7</v>
      </c>
      <c r="N57" s="3">
        <v>12.7</v>
      </c>
      <c r="O57" s="5">
        <v>406.4</v>
      </c>
      <c r="P57" s="5">
        <v>431.8</v>
      </c>
      <c r="Q57" s="5">
        <f t="shared" si="5"/>
        <v>863.6</v>
      </c>
      <c r="R57" s="4">
        <v>190.1</v>
      </c>
      <c r="S57" s="4">
        <v>240</v>
      </c>
    </row>
    <row r="58" spans="1:19" x14ac:dyDescent="0.35">
      <c r="A58" s="1"/>
      <c r="B58" s="2"/>
      <c r="C58" s="2"/>
      <c r="D58" s="25" t="s">
        <v>78</v>
      </c>
      <c r="E58" s="3">
        <v>609.6</v>
      </c>
      <c r="F58" s="3">
        <v>406.4</v>
      </c>
      <c r="G58" s="4">
        <f t="shared" si="3"/>
        <v>590.54000000000008</v>
      </c>
      <c r="H58" s="4">
        <f t="shared" si="3"/>
        <v>387.34</v>
      </c>
      <c r="I58" s="4">
        <f t="shared" si="4"/>
        <v>584.20000000000005</v>
      </c>
      <c r="J58" s="4">
        <f t="shared" si="4"/>
        <v>381</v>
      </c>
      <c r="K58" s="3">
        <v>9.5299999999999994</v>
      </c>
      <c r="L58" s="3">
        <v>9.5299999999999994</v>
      </c>
      <c r="M58" s="3">
        <v>12.7</v>
      </c>
      <c r="N58" s="3">
        <v>12.7</v>
      </c>
      <c r="O58" s="5">
        <v>406.4</v>
      </c>
      <c r="P58" s="5">
        <v>431.8</v>
      </c>
      <c r="Q58" s="5">
        <f t="shared" si="5"/>
        <v>863.6</v>
      </c>
      <c r="R58" s="4">
        <v>196.4</v>
      </c>
      <c r="S58" s="4">
        <v>246.8</v>
      </c>
    </row>
    <row r="59" spans="1:19" x14ac:dyDescent="0.35">
      <c r="A59" s="1"/>
      <c r="B59" s="2"/>
      <c r="C59" s="2"/>
      <c r="D59" s="25" t="s">
        <v>79</v>
      </c>
      <c r="E59" s="3">
        <v>609.6</v>
      </c>
      <c r="F59" s="3">
        <v>457.2</v>
      </c>
      <c r="G59" s="4">
        <f t="shared" si="3"/>
        <v>590.54000000000008</v>
      </c>
      <c r="H59" s="4">
        <f t="shared" si="3"/>
        <v>438.14</v>
      </c>
      <c r="I59" s="4">
        <f t="shared" si="4"/>
        <v>584.20000000000005</v>
      </c>
      <c r="J59" s="4">
        <f t="shared" si="4"/>
        <v>431.8</v>
      </c>
      <c r="K59" s="3">
        <v>9.5299999999999994</v>
      </c>
      <c r="L59" s="3">
        <v>9.5299999999999994</v>
      </c>
      <c r="M59" s="3">
        <v>12.7</v>
      </c>
      <c r="N59" s="3">
        <v>12.7</v>
      </c>
      <c r="O59" s="5">
        <v>419.1</v>
      </c>
      <c r="P59" s="5">
        <v>431.8</v>
      </c>
      <c r="Q59" s="5">
        <f t="shared" si="5"/>
        <v>863.6</v>
      </c>
      <c r="R59" s="4">
        <v>205.5</v>
      </c>
      <c r="S59" s="4">
        <v>255.8</v>
      </c>
    </row>
    <row r="60" spans="1:19" x14ac:dyDescent="0.35">
      <c r="A60" s="1"/>
      <c r="B60" s="2"/>
      <c r="C60" s="2"/>
      <c r="D60" s="25" t="s">
        <v>80</v>
      </c>
      <c r="E60" s="3">
        <v>609.6</v>
      </c>
      <c r="F60" s="3">
        <v>508</v>
      </c>
      <c r="G60" s="4">
        <f t="shared" si="3"/>
        <v>590.54000000000008</v>
      </c>
      <c r="H60" s="4">
        <f t="shared" si="3"/>
        <v>488.94</v>
      </c>
      <c r="I60" s="4">
        <f t="shared" si="4"/>
        <v>584.20000000000005</v>
      </c>
      <c r="J60" s="4">
        <f t="shared" si="4"/>
        <v>482.6</v>
      </c>
      <c r="K60" s="3">
        <v>9.5299999999999994</v>
      </c>
      <c r="L60" s="3">
        <v>9.5299999999999994</v>
      </c>
      <c r="M60" s="3">
        <v>12.7</v>
      </c>
      <c r="N60" s="3">
        <v>12.7</v>
      </c>
      <c r="O60" s="5">
        <v>431.8</v>
      </c>
      <c r="P60" s="5">
        <v>431.8</v>
      </c>
      <c r="Q60" s="5">
        <f t="shared" si="5"/>
        <v>863.6</v>
      </c>
      <c r="R60" s="4">
        <v>205.5</v>
      </c>
      <c r="S60" s="4">
        <v>260.8</v>
      </c>
    </row>
    <row r="61" spans="1:19" x14ac:dyDescent="0.35">
      <c r="A61" s="1"/>
      <c r="B61" s="2"/>
      <c r="C61" s="2"/>
      <c r="D61" s="25" t="s">
        <v>81</v>
      </c>
      <c r="E61" s="4">
        <v>660.4</v>
      </c>
      <c r="F61" s="3">
        <v>323.85000000000002</v>
      </c>
      <c r="G61" s="4">
        <f t="shared" si="3"/>
        <v>641.34</v>
      </c>
      <c r="H61" s="4">
        <f t="shared" si="3"/>
        <v>304.79000000000002</v>
      </c>
      <c r="I61" s="4">
        <f t="shared" si="4"/>
        <v>635</v>
      </c>
      <c r="J61" s="4">
        <f t="shared" si="4"/>
        <v>298.45000000000005</v>
      </c>
      <c r="K61" s="3">
        <v>9.5299999999999994</v>
      </c>
      <c r="L61" s="3">
        <v>9.5299999999999994</v>
      </c>
      <c r="M61" s="3">
        <v>12.7</v>
      </c>
      <c r="N61" s="3">
        <v>12.7</v>
      </c>
      <c r="O61" s="5">
        <v>422.3</v>
      </c>
      <c r="P61" s="5">
        <v>495.3</v>
      </c>
      <c r="Q61" s="5">
        <f t="shared" si="5"/>
        <v>990.6</v>
      </c>
      <c r="R61" s="4">
        <v>234.1</v>
      </c>
      <c r="S61" s="4">
        <v>294.39999999999998</v>
      </c>
    </row>
    <row r="62" spans="1:19" x14ac:dyDescent="0.35">
      <c r="A62" s="1"/>
      <c r="B62" s="2"/>
      <c r="C62" s="2"/>
      <c r="D62" s="25" t="s">
        <v>82</v>
      </c>
      <c r="E62" s="4">
        <v>660.4</v>
      </c>
      <c r="F62" s="3">
        <v>355.6</v>
      </c>
      <c r="G62" s="4">
        <f t="shared" si="3"/>
        <v>641.34</v>
      </c>
      <c r="H62" s="4">
        <f t="shared" si="3"/>
        <v>336.54</v>
      </c>
      <c r="I62" s="4">
        <f t="shared" si="4"/>
        <v>635</v>
      </c>
      <c r="J62" s="4">
        <f t="shared" si="4"/>
        <v>330.20000000000005</v>
      </c>
      <c r="K62" s="3">
        <v>9.5299999999999994</v>
      </c>
      <c r="L62" s="3">
        <v>9.5299999999999994</v>
      </c>
      <c r="M62" s="3">
        <v>12.7</v>
      </c>
      <c r="N62" s="3">
        <v>12.7</v>
      </c>
      <c r="O62" s="5">
        <v>431.8</v>
      </c>
      <c r="P62" s="5">
        <v>495.3</v>
      </c>
      <c r="Q62" s="5">
        <f t="shared" si="5"/>
        <v>990.6</v>
      </c>
      <c r="R62" s="4">
        <v>239</v>
      </c>
      <c r="S62" s="4">
        <v>300.3</v>
      </c>
    </row>
    <row r="63" spans="1:19" x14ac:dyDescent="0.35">
      <c r="A63" s="1"/>
      <c r="B63" s="2"/>
      <c r="C63" s="2"/>
      <c r="D63" s="25" t="s">
        <v>83</v>
      </c>
      <c r="E63" s="4">
        <v>660.4</v>
      </c>
      <c r="F63" s="3">
        <v>406.4</v>
      </c>
      <c r="G63" s="4">
        <f t="shared" si="3"/>
        <v>641.34</v>
      </c>
      <c r="H63" s="4">
        <f t="shared" si="3"/>
        <v>387.34</v>
      </c>
      <c r="I63" s="4">
        <f t="shared" si="4"/>
        <v>635</v>
      </c>
      <c r="J63" s="4">
        <f t="shared" si="4"/>
        <v>381</v>
      </c>
      <c r="K63" s="3">
        <v>9.5299999999999994</v>
      </c>
      <c r="L63" s="3">
        <v>9.5299999999999994</v>
      </c>
      <c r="M63" s="3">
        <v>12.7</v>
      </c>
      <c r="N63" s="3">
        <v>12.7</v>
      </c>
      <c r="O63" s="5">
        <v>431.8</v>
      </c>
      <c r="P63" s="5">
        <v>495.3</v>
      </c>
      <c r="Q63" s="5">
        <f t="shared" si="5"/>
        <v>990.6</v>
      </c>
      <c r="R63" s="4">
        <v>246.8</v>
      </c>
      <c r="S63" s="4">
        <v>310.3</v>
      </c>
    </row>
    <row r="64" spans="1:19" x14ac:dyDescent="0.35">
      <c r="A64" s="1"/>
      <c r="B64" s="2"/>
      <c r="C64" s="2"/>
      <c r="D64" s="25" t="s">
        <v>84</v>
      </c>
      <c r="E64" s="4">
        <v>660.4</v>
      </c>
      <c r="F64" s="3">
        <v>457.2</v>
      </c>
      <c r="G64" s="4">
        <f t="shared" si="3"/>
        <v>641.34</v>
      </c>
      <c r="H64" s="4">
        <f t="shared" si="3"/>
        <v>438.14</v>
      </c>
      <c r="I64" s="4">
        <f t="shared" si="4"/>
        <v>635</v>
      </c>
      <c r="J64" s="4">
        <f t="shared" si="4"/>
        <v>431.8</v>
      </c>
      <c r="K64" s="3">
        <v>9.5299999999999994</v>
      </c>
      <c r="L64" s="3">
        <v>9.5299999999999994</v>
      </c>
      <c r="M64" s="3">
        <v>12.7</v>
      </c>
      <c r="N64" s="3">
        <v>12.7</v>
      </c>
      <c r="O64" s="5">
        <v>444.5</v>
      </c>
      <c r="P64" s="5">
        <v>495.3</v>
      </c>
      <c r="Q64" s="5">
        <f t="shared" si="5"/>
        <v>990.6</v>
      </c>
      <c r="R64" s="4">
        <v>254.9</v>
      </c>
      <c r="S64" s="4">
        <v>320.2</v>
      </c>
    </row>
    <row r="65" spans="1:19" x14ac:dyDescent="0.35">
      <c r="A65" s="1"/>
      <c r="B65" s="2"/>
      <c r="C65" s="2"/>
      <c r="D65" s="25" t="s">
        <v>85</v>
      </c>
      <c r="E65" s="4">
        <v>660.4</v>
      </c>
      <c r="F65" s="3">
        <v>508</v>
      </c>
      <c r="G65" s="4">
        <f t="shared" si="3"/>
        <v>641.34</v>
      </c>
      <c r="H65" s="4">
        <f t="shared" si="3"/>
        <v>488.94</v>
      </c>
      <c r="I65" s="4">
        <f t="shared" si="4"/>
        <v>635</v>
      </c>
      <c r="J65" s="4">
        <f t="shared" si="4"/>
        <v>482.6</v>
      </c>
      <c r="K65" s="3">
        <v>9.5299999999999994</v>
      </c>
      <c r="L65" s="3">
        <v>9.5299999999999994</v>
      </c>
      <c r="M65" s="3">
        <v>12.7</v>
      </c>
      <c r="N65" s="3">
        <v>12.7</v>
      </c>
      <c r="O65" s="5">
        <v>457.2</v>
      </c>
      <c r="P65" s="5">
        <v>495.3</v>
      </c>
      <c r="Q65" s="5">
        <f t="shared" si="5"/>
        <v>990.6</v>
      </c>
      <c r="R65" s="4">
        <v>263.5</v>
      </c>
      <c r="S65" s="4">
        <v>330.2</v>
      </c>
    </row>
    <row r="66" spans="1:19" x14ac:dyDescent="0.35">
      <c r="A66" s="1"/>
      <c r="B66" s="2"/>
      <c r="C66" s="2"/>
      <c r="D66" s="25" t="s">
        <v>86</v>
      </c>
      <c r="E66" s="4">
        <v>660.4</v>
      </c>
      <c r="F66" s="3">
        <v>558.79999999999995</v>
      </c>
      <c r="G66" s="4">
        <f t="shared" si="3"/>
        <v>641.34</v>
      </c>
      <c r="H66" s="4">
        <f t="shared" si="3"/>
        <v>539.74</v>
      </c>
      <c r="I66" s="4">
        <f t="shared" si="4"/>
        <v>635</v>
      </c>
      <c r="J66" s="4">
        <f t="shared" si="4"/>
        <v>533.4</v>
      </c>
      <c r="K66" s="3">
        <v>9.5299999999999994</v>
      </c>
      <c r="L66" s="3">
        <v>9.5299999999999994</v>
      </c>
      <c r="M66" s="3">
        <v>12.7</v>
      </c>
      <c r="N66" s="3">
        <v>12.7</v>
      </c>
      <c r="O66" s="5">
        <v>469.9</v>
      </c>
      <c r="P66" s="5">
        <v>495.3</v>
      </c>
      <c r="Q66" s="5">
        <f t="shared" si="5"/>
        <v>990.6</v>
      </c>
      <c r="R66" s="4">
        <v>271.2</v>
      </c>
      <c r="S66" s="4">
        <v>339.7</v>
      </c>
    </row>
    <row r="67" spans="1:19" x14ac:dyDescent="0.35">
      <c r="A67" s="1"/>
      <c r="B67" s="2"/>
      <c r="C67" s="2"/>
      <c r="D67" s="25" t="s">
        <v>87</v>
      </c>
      <c r="E67" s="4">
        <v>660.4</v>
      </c>
      <c r="F67" s="3">
        <v>609.6</v>
      </c>
      <c r="G67" s="4">
        <f t="shared" si="3"/>
        <v>641.34</v>
      </c>
      <c r="H67" s="4">
        <f t="shared" si="3"/>
        <v>590.54000000000008</v>
      </c>
      <c r="I67" s="4">
        <f t="shared" si="4"/>
        <v>635</v>
      </c>
      <c r="J67" s="4">
        <f t="shared" si="4"/>
        <v>584.20000000000005</v>
      </c>
      <c r="K67" s="3">
        <v>9.5299999999999994</v>
      </c>
      <c r="L67" s="3">
        <v>9.5299999999999994</v>
      </c>
      <c r="M67" s="3">
        <v>12.7</v>
      </c>
      <c r="N67" s="3">
        <v>12.7</v>
      </c>
      <c r="O67" s="5">
        <v>482.6</v>
      </c>
      <c r="P67" s="5">
        <v>495.3</v>
      </c>
      <c r="Q67" s="5">
        <f t="shared" si="5"/>
        <v>990.6</v>
      </c>
      <c r="R67" s="4">
        <v>279.39999999999998</v>
      </c>
      <c r="S67" s="4">
        <v>349.7</v>
      </c>
    </row>
    <row r="68" spans="1:19" x14ac:dyDescent="0.35">
      <c r="A68" s="1"/>
      <c r="B68" s="2"/>
      <c r="C68" s="2"/>
      <c r="D68" s="25" t="s">
        <v>88</v>
      </c>
      <c r="E68" s="4">
        <v>711.2</v>
      </c>
      <c r="F68" s="3">
        <v>355.6</v>
      </c>
      <c r="G68" s="4">
        <f t="shared" si="3"/>
        <v>692.1400000000001</v>
      </c>
      <c r="H68" s="4">
        <f t="shared" si="3"/>
        <v>336.54</v>
      </c>
      <c r="I68" s="4">
        <f t="shared" si="4"/>
        <v>685.80000000000007</v>
      </c>
      <c r="J68" s="4">
        <f t="shared" si="4"/>
        <v>330.20000000000005</v>
      </c>
      <c r="K68" s="3">
        <v>9.5299999999999994</v>
      </c>
      <c r="L68" s="3">
        <v>9.5299999999999994</v>
      </c>
      <c r="M68" s="3">
        <v>12.7</v>
      </c>
      <c r="N68" s="3">
        <v>12.7</v>
      </c>
      <c r="O68" s="5">
        <v>457.2</v>
      </c>
      <c r="P68" s="5">
        <v>520.70000000000005</v>
      </c>
      <c r="Q68" s="5">
        <f t="shared" si="5"/>
        <v>1041.4000000000001</v>
      </c>
      <c r="R68" s="4">
        <v>274</v>
      </c>
      <c r="S68" s="4">
        <v>346</v>
      </c>
    </row>
    <row r="69" spans="1:19" x14ac:dyDescent="0.35">
      <c r="A69" s="1"/>
      <c r="B69" s="2"/>
      <c r="C69" s="2"/>
      <c r="D69" s="25" t="s">
        <v>89</v>
      </c>
      <c r="E69" s="4">
        <v>711.2</v>
      </c>
      <c r="F69" s="3">
        <v>406.4</v>
      </c>
      <c r="G69" s="4">
        <f t="shared" si="3"/>
        <v>692.1400000000001</v>
      </c>
      <c r="H69" s="4">
        <f t="shared" si="3"/>
        <v>387.34</v>
      </c>
      <c r="I69" s="4">
        <f t="shared" si="4"/>
        <v>685.80000000000007</v>
      </c>
      <c r="J69" s="4">
        <f t="shared" si="4"/>
        <v>381</v>
      </c>
      <c r="K69" s="3">
        <v>9.5299999999999994</v>
      </c>
      <c r="L69" s="3">
        <v>9.5299999999999994</v>
      </c>
      <c r="M69" s="3">
        <v>12.7</v>
      </c>
      <c r="N69" s="3">
        <v>12.7</v>
      </c>
      <c r="O69" s="5">
        <v>457.2</v>
      </c>
      <c r="P69" s="5">
        <v>520.70000000000005</v>
      </c>
      <c r="Q69" s="5">
        <f t="shared" si="5"/>
        <v>1041.4000000000001</v>
      </c>
      <c r="R69" s="4">
        <v>283</v>
      </c>
      <c r="S69" s="4">
        <v>357</v>
      </c>
    </row>
    <row r="70" spans="1:19" x14ac:dyDescent="0.35">
      <c r="A70" s="1"/>
      <c r="B70" s="2"/>
      <c r="C70" s="2"/>
      <c r="D70" s="25" t="s">
        <v>90</v>
      </c>
      <c r="E70" s="4">
        <v>711.2</v>
      </c>
      <c r="F70" s="3">
        <v>457.2</v>
      </c>
      <c r="G70" s="4">
        <f t="shared" si="3"/>
        <v>692.1400000000001</v>
      </c>
      <c r="H70" s="4">
        <f t="shared" si="3"/>
        <v>438.14</v>
      </c>
      <c r="I70" s="4">
        <f t="shared" si="4"/>
        <v>685.80000000000007</v>
      </c>
      <c r="J70" s="4">
        <f t="shared" si="4"/>
        <v>431.8</v>
      </c>
      <c r="K70" s="3">
        <v>9.5299999999999994</v>
      </c>
      <c r="L70" s="3">
        <v>9.5299999999999994</v>
      </c>
      <c r="M70" s="3">
        <v>12.7</v>
      </c>
      <c r="N70" s="3">
        <v>12.7</v>
      </c>
      <c r="O70" s="5">
        <v>469.9</v>
      </c>
      <c r="P70" s="5">
        <v>520.70000000000005</v>
      </c>
      <c r="Q70" s="5">
        <f t="shared" si="5"/>
        <v>1041.4000000000001</v>
      </c>
      <c r="R70" s="4">
        <v>292.10000000000002</v>
      </c>
      <c r="S70" s="4">
        <v>368.8</v>
      </c>
    </row>
    <row r="71" spans="1:19" x14ac:dyDescent="0.35">
      <c r="A71" s="1"/>
      <c r="B71" s="2"/>
      <c r="C71" s="2"/>
      <c r="D71" s="25" t="s">
        <v>91</v>
      </c>
      <c r="E71" s="4">
        <v>711.2</v>
      </c>
      <c r="F71" s="3">
        <v>508</v>
      </c>
      <c r="G71" s="4">
        <f t="shared" si="3"/>
        <v>692.1400000000001</v>
      </c>
      <c r="H71" s="4">
        <f t="shared" si="3"/>
        <v>488.94</v>
      </c>
      <c r="I71" s="4">
        <f t="shared" si="4"/>
        <v>685.80000000000007</v>
      </c>
      <c r="J71" s="4">
        <f t="shared" si="4"/>
        <v>482.6</v>
      </c>
      <c r="K71" s="3">
        <v>9.5299999999999994</v>
      </c>
      <c r="L71" s="3">
        <v>9.5299999999999994</v>
      </c>
      <c r="M71" s="3">
        <v>12.7</v>
      </c>
      <c r="N71" s="3">
        <v>12.7</v>
      </c>
      <c r="O71" s="5">
        <v>482.6</v>
      </c>
      <c r="P71" s="5">
        <v>520.70000000000005</v>
      </c>
      <c r="Q71" s="5">
        <f t="shared" si="5"/>
        <v>1041.4000000000001</v>
      </c>
      <c r="R71" s="4">
        <v>301.60000000000002</v>
      </c>
      <c r="S71" s="4">
        <v>380</v>
      </c>
    </row>
    <row r="72" spans="1:19" x14ac:dyDescent="0.35">
      <c r="A72" s="1"/>
      <c r="B72" s="2"/>
      <c r="C72" s="2"/>
      <c r="D72" s="25" t="s">
        <v>92</v>
      </c>
      <c r="E72" s="4">
        <v>711.2</v>
      </c>
      <c r="F72" s="3">
        <v>558.79999999999995</v>
      </c>
      <c r="G72" s="4">
        <f t="shared" si="3"/>
        <v>692.1400000000001</v>
      </c>
      <c r="H72" s="4">
        <f t="shared" si="3"/>
        <v>539.74</v>
      </c>
      <c r="I72" s="4">
        <f t="shared" si="4"/>
        <v>685.80000000000007</v>
      </c>
      <c r="J72" s="4">
        <f t="shared" si="4"/>
        <v>533.4</v>
      </c>
      <c r="K72" s="3">
        <v>9.5299999999999994</v>
      </c>
      <c r="L72" s="3">
        <v>9.5299999999999994</v>
      </c>
      <c r="M72" s="3">
        <v>12.7</v>
      </c>
      <c r="N72" s="3">
        <v>12.7</v>
      </c>
      <c r="O72" s="5">
        <v>495.3</v>
      </c>
      <c r="P72" s="5">
        <v>520.70000000000005</v>
      </c>
      <c r="Q72" s="5">
        <f t="shared" si="5"/>
        <v>1041.4000000000001</v>
      </c>
      <c r="R72" s="4">
        <v>310.7</v>
      </c>
      <c r="S72" s="4">
        <v>390</v>
      </c>
    </row>
    <row r="73" spans="1:19" x14ac:dyDescent="0.35">
      <c r="A73" s="1"/>
      <c r="B73" s="2"/>
      <c r="C73" s="2"/>
      <c r="D73" s="25" t="s">
        <v>93</v>
      </c>
      <c r="E73" s="4">
        <v>711.2</v>
      </c>
      <c r="F73" s="3">
        <v>609.6</v>
      </c>
      <c r="G73" s="4">
        <f t="shared" si="3"/>
        <v>692.1400000000001</v>
      </c>
      <c r="H73" s="4">
        <f t="shared" si="3"/>
        <v>590.54000000000008</v>
      </c>
      <c r="I73" s="4">
        <f t="shared" si="4"/>
        <v>685.80000000000007</v>
      </c>
      <c r="J73" s="4">
        <f t="shared" si="4"/>
        <v>584.20000000000005</v>
      </c>
      <c r="K73" s="3">
        <v>9.5299999999999994</v>
      </c>
      <c r="L73" s="3">
        <v>9.5299999999999994</v>
      </c>
      <c r="M73" s="3">
        <v>12.7</v>
      </c>
      <c r="N73" s="3">
        <v>12.7</v>
      </c>
      <c r="O73" s="5">
        <v>508</v>
      </c>
      <c r="P73" s="5">
        <v>520.70000000000005</v>
      </c>
      <c r="Q73" s="5">
        <f t="shared" si="5"/>
        <v>1041.4000000000001</v>
      </c>
      <c r="R73" s="4">
        <v>319.8</v>
      </c>
      <c r="S73" s="4">
        <v>400.5</v>
      </c>
    </row>
    <row r="74" spans="1:19" x14ac:dyDescent="0.35">
      <c r="A74" s="1"/>
      <c r="B74" s="2"/>
      <c r="C74" s="2"/>
      <c r="D74" s="25" t="s">
        <v>94</v>
      </c>
      <c r="E74" s="4">
        <v>711.2</v>
      </c>
      <c r="F74" s="4">
        <v>660.4</v>
      </c>
      <c r="G74" s="4">
        <f t="shared" si="3"/>
        <v>692.1400000000001</v>
      </c>
      <c r="H74" s="4">
        <f t="shared" si="3"/>
        <v>641.34</v>
      </c>
      <c r="I74" s="4">
        <f t="shared" si="4"/>
        <v>685.80000000000007</v>
      </c>
      <c r="J74" s="4">
        <f t="shared" si="4"/>
        <v>635</v>
      </c>
      <c r="K74" s="3">
        <v>9.5299999999999994</v>
      </c>
      <c r="L74" s="3">
        <v>9.5299999999999994</v>
      </c>
      <c r="M74" s="3">
        <v>12.7</v>
      </c>
      <c r="N74" s="3">
        <v>12.7</v>
      </c>
      <c r="O74" s="5">
        <v>520.70000000000005</v>
      </c>
      <c r="P74" s="5">
        <v>520.70000000000005</v>
      </c>
      <c r="Q74" s="5">
        <f t="shared" si="5"/>
        <v>1041.4000000000001</v>
      </c>
      <c r="R74" s="4">
        <v>325.2</v>
      </c>
      <c r="S74" s="4">
        <v>410.5</v>
      </c>
    </row>
    <row r="75" spans="1:19" x14ac:dyDescent="0.35">
      <c r="A75" s="1"/>
      <c r="B75" s="2"/>
      <c r="C75" s="2"/>
      <c r="D75" s="25" t="s">
        <v>95</v>
      </c>
      <c r="E75" s="4">
        <v>762</v>
      </c>
      <c r="F75" s="3">
        <v>355.6</v>
      </c>
      <c r="G75" s="4">
        <f t="shared" si="3"/>
        <v>742.94</v>
      </c>
      <c r="H75" s="4">
        <f t="shared" si="3"/>
        <v>336.54</v>
      </c>
      <c r="I75" s="4">
        <f t="shared" si="4"/>
        <v>736.6</v>
      </c>
      <c r="J75" s="4">
        <f t="shared" si="4"/>
        <v>330.20000000000005</v>
      </c>
      <c r="K75" s="3">
        <v>9.5299999999999994</v>
      </c>
      <c r="L75" s="3">
        <v>9.5299999999999994</v>
      </c>
      <c r="M75" s="3">
        <v>12.7</v>
      </c>
      <c r="N75" s="3">
        <v>12.7</v>
      </c>
      <c r="O75" s="5">
        <v>482.6</v>
      </c>
      <c r="P75" s="5">
        <v>520.70000000000005</v>
      </c>
      <c r="Q75" s="5">
        <f t="shared" si="5"/>
        <v>1041.4000000000001</v>
      </c>
      <c r="R75" s="4">
        <v>308.89999999999998</v>
      </c>
      <c r="S75" s="4">
        <v>392.4</v>
      </c>
    </row>
    <row r="76" spans="1:19" x14ac:dyDescent="0.35">
      <c r="A76" s="1"/>
      <c r="B76" s="2"/>
      <c r="C76" s="2"/>
      <c r="D76" s="25" t="s">
        <v>96</v>
      </c>
      <c r="E76" s="4">
        <v>762</v>
      </c>
      <c r="F76" s="3">
        <v>406.4</v>
      </c>
      <c r="G76" s="4">
        <f t="shared" si="3"/>
        <v>742.94</v>
      </c>
      <c r="H76" s="4">
        <f t="shared" si="3"/>
        <v>387.34</v>
      </c>
      <c r="I76" s="4">
        <f t="shared" si="4"/>
        <v>736.6</v>
      </c>
      <c r="J76" s="4">
        <f t="shared" si="4"/>
        <v>381</v>
      </c>
      <c r="K76" s="3">
        <v>9.5299999999999994</v>
      </c>
      <c r="L76" s="3">
        <v>9.5299999999999994</v>
      </c>
      <c r="M76" s="3">
        <v>12.7</v>
      </c>
      <c r="N76" s="3">
        <v>12.7</v>
      </c>
      <c r="O76" s="5">
        <v>482.6</v>
      </c>
      <c r="P76" s="5">
        <v>558.79999999999995</v>
      </c>
      <c r="Q76" s="5">
        <f t="shared" si="5"/>
        <v>1117.5999999999999</v>
      </c>
      <c r="R76" s="4">
        <v>319.3</v>
      </c>
      <c r="S76" s="4">
        <v>403.7</v>
      </c>
    </row>
    <row r="77" spans="1:19" x14ac:dyDescent="0.35">
      <c r="A77" s="1"/>
      <c r="B77" s="2"/>
      <c r="C77" s="2"/>
      <c r="D77" s="25" t="s">
        <v>97</v>
      </c>
      <c r="E77" s="4">
        <v>762</v>
      </c>
      <c r="F77" s="3">
        <v>457.2</v>
      </c>
      <c r="G77" s="4">
        <f t="shared" si="3"/>
        <v>742.94</v>
      </c>
      <c r="H77" s="4">
        <f t="shared" si="3"/>
        <v>438.14</v>
      </c>
      <c r="I77" s="4">
        <f t="shared" si="4"/>
        <v>736.6</v>
      </c>
      <c r="J77" s="4">
        <f t="shared" si="4"/>
        <v>431.8</v>
      </c>
      <c r="K77" s="3">
        <v>9.5299999999999994</v>
      </c>
      <c r="L77" s="3">
        <v>9.5299999999999994</v>
      </c>
      <c r="M77" s="3">
        <v>12.7</v>
      </c>
      <c r="N77" s="3">
        <v>12.7</v>
      </c>
      <c r="O77" s="5">
        <v>495.3</v>
      </c>
      <c r="P77" s="5">
        <v>558.79999999999995</v>
      </c>
      <c r="Q77" s="5">
        <f t="shared" si="5"/>
        <v>1117.5999999999999</v>
      </c>
      <c r="R77" s="4">
        <v>329.8</v>
      </c>
      <c r="S77" s="4">
        <v>417.3</v>
      </c>
    </row>
    <row r="78" spans="1:19" x14ac:dyDescent="0.35">
      <c r="A78" s="1"/>
      <c r="B78" s="2"/>
      <c r="C78" s="2"/>
      <c r="D78" s="25" t="s">
        <v>98</v>
      </c>
      <c r="E78" s="4">
        <v>762</v>
      </c>
      <c r="F78" s="3">
        <v>508</v>
      </c>
      <c r="G78" s="4">
        <f t="shared" si="3"/>
        <v>742.94</v>
      </c>
      <c r="H78" s="4">
        <f t="shared" si="3"/>
        <v>488.94</v>
      </c>
      <c r="I78" s="4">
        <f t="shared" si="4"/>
        <v>736.6</v>
      </c>
      <c r="J78" s="4">
        <f t="shared" si="4"/>
        <v>482.6</v>
      </c>
      <c r="K78" s="3">
        <v>9.5299999999999994</v>
      </c>
      <c r="L78" s="3">
        <v>9.5299999999999994</v>
      </c>
      <c r="M78" s="3">
        <v>12.7</v>
      </c>
      <c r="N78" s="3">
        <v>12.7</v>
      </c>
      <c r="O78" s="5">
        <v>508</v>
      </c>
      <c r="P78" s="5">
        <v>558.79999999999995</v>
      </c>
      <c r="Q78" s="5">
        <f t="shared" si="5"/>
        <v>1117.5999999999999</v>
      </c>
      <c r="R78" s="4">
        <v>339.7</v>
      </c>
      <c r="S78" s="4">
        <v>428.6</v>
      </c>
    </row>
    <row r="79" spans="1:19" x14ac:dyDescent="0.35">
      <c r="A79" s="1"/>
      <c r="B79" s="2"/>
      <c r="C79" s="2"/>
      <c r="D79" s="25" t="s">
        <v>99</v>
      </c>
      <c r="E79" s="4">
        <v>762</v>
      </c>
      <c r="F79" s="3">
        <v>558.79999999999995</v>
      </c>
      <c r="G79" s="4">
        <f t="shared" si="3"/>
        <v>742.94</v>
      </c>
      <c r="H79" s="4">
        <f t="shared" si="3"/>
        <v>539.74</v>
      </c>
      <c r="I79" s="4">
        <f t="shared" si="4"/>
        <v>736.6</v>
      </c>
      <c r="J79" s="4">
        <f t="shared" si="4"/>
        <v>533.4</v>
      </c>
      <c r="K79" s="3">
        <v>9.5299999999999994</v>
      </c>
      <c r="L79" s="3">
        <v>9.5299999999999994</v>
      </c>
      <c r="M79" s="3">
        <v>12.7</v>
      </c>
      <c r="N79" s="3">
        <v>12.7</v>
      </c>
      <c r="O79" s="5">
        <v>520.70000000000005</v>
      </c>
      <c r="P79" s="5">
        <v>558.79999999999995</v>
      </c>
      <c r="Q79" s="5">
        <f t="shared" si="5"/>
        <v>1117.5999999999999</v>
      </c>
      <c r="R79" s="4">
        <v>350.2</v>
      </c>
      <c r="S79" s="4">
        <v>440</v>
      </c>
    </row>
    <row r="80" spans="1:19" x14ac:dyDescent="0.35">
      <c r="A80" s="1"/>
      <c r="B80" s="2"/>
      <c r="C80" s="2"/>
      <c r="D80" s="25" t="s">
        <v>100</v>
      </c>
      <c r="E80" s="4">
        <v>762</v>
      </c>
      <c r="F80" s="3">
        <v>609.6</v>
      </c>
      <c r="G80" s="4">
        <f t="shared" si="3"/>
        <v>742.94</v>
      </c>
      <c r="H80" s="4">
        <f t="shared" si="3"/>
        <v>590.54000000000008</v>
      </c>
      <c r="I80" s="4">
        <f t="shared" si="4"/>
        <v>736.6</v>
      </c>
      <c r="J80" s="4">
        <f t="shared" si="4"/>
        <v>584.20000000000005</v>
      </c>
      <c r="K80" s="3">
        <v>9.5299999999999994</v>
      </c>
      <c r="L80" s="3">
        <v>9.5299999999999994</v>
      </c>
      <c r="M80" s="3">
        <v>12.7</v>
      </c>
      <c r="N80" s="3">
        <v>12.7</v>
      </c>
      <c r="O80" s="5">
        <v>533.4</v>
      </c>
      <c r="P80" s="5">
        <v>558.79999999999995</v>
      </c>
      <c r="Q80" s="5">
        <f t="shared" si="5"/>
        <v>1117.5999999999999</v>
      </c>
      <c r="R80" s="4">
        <v>360.6</v>
      </c>
      <c r="S80" s="4">
        <v>451.3</v>
      </c>
    </row>
    <row r="81" spans="1:19" x14ac:dyDescent="0.35">
      <c r="A81" s="1"/>
      <c r="B81" s="2"/>
      <c r="C81" s="2"/>
      <c r="D81" s="25" t="s">
        <v>101</v>
      </c>
      <c r="E81" s="4">
        <v>762</v>
      </c>
      <c r="F81" s="4">
        <v>660.4</v>
      </c>
      <c r="G81" s="4">
        <f t="shared" si="3"/>
        <v>742.94</v>
      </c>
      <c r="H81" s="4">
        <f t="shared" si="3"/>
        <v>641.34</v>
      </c>
      <c r="I81" s="4">
        <f t="shared" si="4"/>
        <v>736.6</v>
      </c>
      <c r="J81" s="4">
        <f t="shared" si="4"/>
        <v>635</v>
      </c>
      <c r="K81" s="3">
        <v>9.5299999999999994</v>
      </c>
      <c r="L81" s="3">
        <v>9.5299999999999994</v>
      </c>
      <c r="M81" s="3">
        <v>12.7</v>
      </c>
      <c r="N81" s="3">
        <v>12.7</v>
      </c>
      <c r="O81" s="5">
        <v>546.1</v>
      </c>
      <c r="P81" s="5">
        <v>558.79999999999995</v>
      </c>
      <c r="Q81" s="5">
        <f t="shared" si="5"/>
        <v>1117.5999999999999</v>
      </c>
      <c r="R81" s="4">
        <v>370.6</v>
      </c>
      <c r="S81" s="4">
        <v>462.7</v>
      </c>
    </row>
    <row r="82" spans="1:19" x14ac:dyDescent="0.35">
      <c r="A82" s="1"/>
      <c r="B82" s="2"/>
      <c r="C82" s="2"/>
      <c r="D82" s="25" t="s">
        <v>102</v>
      </c>
      <c r="E82" s="4">
        <v>762</v>
      </c>
      <c r="F82" s="4">
        <v>711.2</v>
      </c>
      <c r="G82" s="4">
        <f t="shared" si="3"/>
        <v>742.94</v>
      </c>
      <c r="H82" s="4">
        <f t="shared" si="3"/>
        <v>692.1400000000001</v>
      </c>
      <c r="I82" s="4">
        <f t="shared" si="4"/>
        <v>736.6</v>
      </c>
      <c r="J82" s="4">
        <f t="shared" si="4"/>
        <v>685.80000000000007</v>
      </c>
      <c r="K82" s="3">
        <v>9.5299999999999994</v>
      </c>
      <c r="L82" s="3">
        <v>9.5299999999999994</v>
      </c>
      <c r="M82" s="3">
        <v>12.7</v>
      </c>
      <c r="N82" s="3">
        <v>12.7</v>
      </c>
      <c r="O82" s="5">
        <v>546.1</v>
      </c>
      <c r="P82" s="5">
        <v>558.79999999999995</v>
      </c>
      <c r="Q82" s="5">
        <f t="shared" si="5"/>
        <v>1117.5999999999999</v>
      </c>
      <c r="R82" s="4">
        <v>378.3</v>
      </c>
      <c r="S82" s="4">
        <v>471.7</v>
      </c>
    </row>
    <row r="83" spans="1:19" x14ac:dyDescent="0.35">
      <c r="A83" s="1"/>
      <c r="B83" s="2"/>
      <c r="C83" s="2"/>
      <c r="D83" s="25" t="s">
        <v>103</v>
      </c>
      <c r="E83" s="4">
        <v>812.8</v>
      </c>
      <c r="F83" s="3">
        <v>406.4</v>
      </c>
      <c r="G83" s="4">
        <f t="shared" si="3"/>
        <v>793.74</v>
      </c>
      <c r="H83" s="4">
        <f t="shared" si="3"/>
        <v>387.34</v>
      </c>
      <c r="I83" s="4">
        <f t="shared" si="4"/>
        <v>787.4</v>
      </c>
      <c r="J83" s="4">
        <f t="shared" si="4"/>
        <v>381</v>
      </c>
      <c r="K83" s="3">
        <v>9.5299999999999994</v>
      </c>
      <c r="L83" s="3">
        <v>9.5299999999999994</v>
      </c>
      <c r="M83" s="3">
        <v>12.7</v>
      </c>
      <c r="N83" s="3">
        <v>12.7</v>
      </c>
      <c r="O83" s="5">
        <v>508</v>
      </c>
      <c r="P83" s="5">
        <v>596.9</v>
      </c>
      <c r="Q83" s="5">
        <f t="shared" si="5"/>
        <v>1193.8</v>
      </c>
      <c r="R83" s="4">
        <v>381</v>
      </c>
      <c r="S83" s="4">
        <v>461</v>
      </c>
    </row>
    <row r="84" spans="1:19" x14ac:dyDescent="0.35">
      <c r="A84" s="1"/>
      <c r="B84" s="2"/>
      <c r="C84" s="2"/>
      <c r="D84" s="25" t="s">
        <v>104</v>
      </c>
      <c r="E84" s="4">
        <v>812.8</v>
      </c>
      <c r="F84" s="3">
        <v>457.2</v>
      </c>
      <c r="G84" s="4">
        <f t="shared" si="3"/>
        <v>793.74</v>
      </c>
      <c r="H84" s="4">
        <f t="shared" si="3"/>
        <v>438.14</v>
      </c>
      <c r="I84" s="4">
        <f t="shared" si="4"/>
        <v>787.4</v>
      </c>
      <c r="J84" s="4">
        <f t="shared" si="4"/>
        <v>431.8</v>
      </c>
      <c r="K84" s="3">
        <v>9.5299999999999994</v>
      </c>
      <c r="L84" s="3">
        <v>9.5299999999999994</v>
      </c>
      <c r="M84" s="3">
        <v>12.7</v>
      </c>
      <c r="N84" s="3">
        <v>12.7</v>
      </c>
      <c r="O84" s="5">
        <v>520.70000000000005</v>
      </c>
      <c r="P84" s="5">
        <v>596.9</v>
      </c>
      <c r="Q84" s="5">
        <f t="shared" si="5"/>
        <v>1193.8</v>
      </c>
      <c r="R84" s="4">
        <v>390</v>
      </c>
      <c r="S84" s="4">
        <v>475</v>
      </c>
    </row>
    <row r="85" spans="1:19" x14ac:dyDescent="0.35">
      <c r="A85" s="1"/>
      <c r="B85" s="2"/>
      <c r="C85" s="2"/>
      <c r="D85" s="25" t="s">
        <v>105</v>
      </c>
      <c r="E85" s="4">
        <v>812.8</v>
      </c>
      <c r="F85" s="3">
        <v>508</v>
      </c>
      <c r="G85" s="4">
        <f t="shared" si="3"/>
        <v>793.74</v>
      </c>
      <c r="H85" s="4">
        <f t="shared" si="3"/>
        <v>488.94</v>
      </c>
      <c r="I85" s="4">
        <f t="shared" si="4"/>
        <v>787.4</v>
      </c>
      <c r="J85" s="4">
        <f t="shared" si="4"/>
        <v>482.6</v>
      </c>
      <c r="K85" s="3">
        <v>9.5299999999999994</v>
      </c>
      <c r="L85" s="3">
        <v>9.5299999999999994</v>
      </c>
      <c r="M85" s="3">
        <v>12.7</v>
      </c>
      <c r="N85" s="3">
        <v>12.7</v>
      </c>
      <c r="O85" s="5">
        <v>533.4</v>
      </c>
      <c r="P85" s="5">
        <v>596.9</v>
      </c>
      <c r="Q85" s="5">
        <f t="shared" si="5"/>
        <v>1193.8</v>
      </c>
      <c r="R85" s="4">
        <v>406</v>
      </c>
      <c r="S85" s="4">
        <v>487.6</v>
      </c>
    </row>
    <row r="86" spans="1:19" x14ac:dyDescent="0.35">
      <c r="A86" s="1"/>
      <c r="B86" s="2"/>
      <c r="C86" s="2"/>
      <c r="D86" s="25" t="s">
        <v>106</v>
      </c>
      <c r="E86" s="4">
        <v>812.8</v>
      </c>
      <c r="F86" s="3">
        <v>609.6</v>
      </c>
      <c r="G86" s="4">
        <f t="shared" si="3"/>
        <v>793.74</v>
      </c>
      <c r="H86" s="4">
        <f t="shared" si="3"/>
        <v>590.54000000000008</v>
      </c>
      <c r="I86" s="4">
        <f t="shared" si="4"/>
        <v>787.4</v>
      </c>
      <c r="J86" s="4">
        <f t="shared" si="4"/>
        <v>584.20000000000005</v>
      </c>
      <c r="K86" s="3">
        <v>9.5299999999999994</v>
      </c>
      <c r="L86" s="3">
        <v>9.5299999999999994</v>
      </c>
      <c r="M86" s="3">
        <v>12.7</v>
      </c>
      <c r="N86" s="3">
        <v>12.7</v>
      </c>
      <c r="O86" s="6">
        <v>558.79999999999995</v>
      </c>
      <c r="P86" s="5">
        <v>596.9</v>
      </c>
      <c r="Q86" s="5">
        <f t="shared" si="5"/>
        <v>1193.8</v>
      </c>
      <c r="R86" s="7">
        <v>410</v>
      </c>
      <c r="S86" s="7">
        <v>513.5</v>
      </c>
    </row>
    <row r="87" spans="1:19" x14ac:dyDescent="0.35">
      <c r="A87" s="1"/>
      <c r="B87" s="2"/>
      <c r="C87" s="2"/>
      <c r="D87" s="25" t="s">
        <v>107</v>
      </c>
      <c r="E87" s="4">
        <v>812.8</v>
      </c>
      <c r="F87" s="4">
        <v>660.4</v>
      </c>
      <c r="G87" s="4">
        <f t="shared" si="3"/>
        <v>793.74</v>
      </c>
      <c r="H87" s="4">
        <f t="shared" si="3"/>
        <v>641.34</v>
      </c>
      <c r="I87" s="4">
        <f t="shared" si="4"/>
        <v>787.4</v>
      </c>
      <c r="J87" s="4">
        <f t="shared" si="4"/>
        <v>635</v>
      </c>
      <c r="K87" s="3">
        <v>9.5299999999999994</v>
      </c>
      <c r="L87" s="3">
        <v>9.5299999999999994</v>
      </c>
      <c r="M87" s="3">
        <v>12.7</v>
      </c>
      <c r="N87" s="3">
        <v>12.7</v>
      </c>
      <c r="O87" s="5">
        <v>571.5</v>
      </c>
      <c r="P87" s="5">
        <v>596.9</v>
      </c>
      <c r="Q87" s="5">
        <f t="shared" si="5"/>
        <v>1193.8</v>
      </c>
      <c r="R87" s="4">
        <v>420.5</v>
      </c>
      <c r="S87" s="4">
        <v>526.20000000000005</v>
      </c>
    </row>
    <row r="88" spans="1:19" x14ac:dyDescent="0.35">
      <c r="A88" s="1"/>
      <c r="B88" s="2"/>
      <c r="C88" s="2"/>
      <c r="D88" s="25" t="s">
        <v>108</v>
      </c>
      <c r="E88" s="4">
        <v>812.8</v>
      </c>
      <c r="F88" s="4">
        <v>711.2</v>
      </c>
      <c r="G88" s="4">
        <f t="shared" si="3"/>
        <v>793.74</v>
      </c>
      <c r="H88" s="4">
        <f t="shared" si="3"/>
        <v>692.1400000000001</v>
      </c>
      <c r="I88" s="4">
        <f t="shared" si="4"/>
        <v>787.4</v>
      </c>
      <c r="J88" s="4">
        <f t="shared" si="4"/>
        <v>685.80000000000007</v>
      </c>
      <c r="K88" s="3">
        <v>9.5299999999999994</v>
      </c>
      <c r="L88" s="3">
        <v>9.5299999999999994</v>
      </c>
      <c r="M88" s="3">
        <v>12.7</v>
      </c>
      <c r="N88" s="3">
        <v>12.7</v>
      </c>
      <c r="O88" s="5">
        <v>571.5</v>
      </c>
      <c r="P88" s="5">
        <v>596.9</v>
      </c>
      <c r="Q88" s="5">
        <f t="shared" si="5"/>
        <v>1193.8</v>
      </c>
      <c r="R88" s="4">
        <v>429.1</v>
      </c>
      <c r="S88" s="4">
        <v>536.20000000000005</v>
      </c>
    </row>
    <row r="89" spans="1:19" x14ac:dyDescent="0.35">
      <c r="A89" s="1"/>
      <c r="B89" s="2"/>
      <c r="C89" s="2"/>
      <c r="D89" s="25" t="s">
        <v>109</v>
      </c>
      <c r="E89" s="4">
        <v>812.8</v>
      </c>
      <c r="F89" s="4">
        <v>762</v>
      </c>
      <c r="G89" s="4">
        <f t="shared" si="3"/>
        <v>793.74</v>
      </c>
      <c r="H89" s="4">
        <f t="shared" si="3"/>
        <v>742.94</v>
      </c>
      <c r="I89" s="4">
        <f t="shared" si="4"/>
        <v>787.4</v>
      </c>
      <c r="J89" s="4">
        <f t="shared" si="4"/>
        <v>736.6</v>
      </c>
      <c r="K89" s="3">
        <v>9.5299999999999994</v>
      </c>
      <c r="L89" s="3">
        <v>9.5299999999999994</v>
      </c>
      <c r="M89" s="3">
        <v>12.7</v>
      </c>
      <c r="N89" s="3">
        <v>12.7</v>
      </c>
      <c r="O89" s="5">
        <v>584.20000000000005</v>
      </c>
      <c r="P89" s="5">
        <v>596.9</v>
      </c>
      <c r="Q89" s="5">
        <f t="shared" si="5"/>
        <v>1193.8</v>
      </c>
      <c r="R89" s="4">
        <v>441.4</v>
      </c>
      <c r="S89" s="4">
        <v>543.4</v>
      </c>
    </row>
    <row r="90" spans="1:19" x14ac:dyDescent="0.35">
      <c r="A90" s="1"/>
      <c r="B90" s="2"/>
      <c r="C90" s="2"/>
      <c r="D90" s="25" t="s">
        <v>110</v>
      </c>
      <c r="E90" s="4">
        <v>863.6</v>
      </c>
      <c r="F90" s="3">
        <v>406.4</v>
      </c>
      <c r="G90" s="4">
        <f t="shared" si="3"/>
        <v>844.54000000000008</v>
      </c>
      <c r="H90" s="4">
        <f t="shared" si="3"/>
        <v>387.34</v>
      </c>
      <c r="I90" s="4">
        <f t="shared" si="4"/>
        <v>838.2</v>
      </c>
      <c r="J90" s="4">
        <f t="shared" si="4"/>
        <v>381</v>
      </c>
      <c r="K90" s="3">
        <v>9.5299999999999994</v>
      </c>
      <c r="L90" s="3">
        <v>9.5299999999999994</v>
      </c>
      <c r="M90" s="3">
        <v>12.7</v>
      </c>
      <c r="N90" s="3">
        <v>12.7</v>
      </c>
      <c r="O90" s="5">
        <v>533.4</v>
      </c>
      <c r="P90" s="5">
        <v>635</v>
      </c>
      <c r="Q90" s="5">
        <f t="shared" si="5"/>
        <v>1270</v>
      </c>
      <c r="R90" s="4">
        <v>411.4</v>
      </c>
      <c r="S90" s="4">
        <v>519.4</v>
      </c>
    </row>
    <row r="91" spans="1:19" x14ac:dyDescent="0.35">
      <c r="A91" s="1"/>
      <c r="B91" s="2"/>
      <c r="C91" s="2"/>
      <c r="D91" s="25" t="s">
        <v>111</v>
      </c>
      <c r="E91" s="4">
        <v>863.6</v>
      </c>
      <c r="F91" s="3">
        <v>457.2</v>
      </c>
      <c r="G91" s="4">
        <f t="shared" si="3"/>
        <v>844.54000000000008</v>
      </c>
      <c r="H91" s="4">
        <f t="shared" si="3"/>
        <v>438.14</v>
      </c>
      <c r="I91" s="4">
        <f t="shared" si="4"/>
        <v>838.2</v>
      </c>
      <c r="J91" s="4">
        <f t="shared" si="4"/>
        <v>431.8</v>
      </c>
      <c r="K91" s="3">
        <v>9.5299999999999994</v>
      </c>
      <c r="L91" s="3">
        <v>9.5299999999999994</v>
      </c>
      <c r="M91" s="3">
        <v>12.7</v>
      </c>
      <c r="N91" s="3">
        <v>12.7</v>
      </c>
      <c r="O91" s="5">
        <v>546.1</v>
      </c>
      <c r="P91" s="5">
        <v>635</v>
      </c>
      <c r="Q91" s="5">
        <f t="shared" si="5"/>
        <v>1270</v>
      </c>
      <c r="R91" s="4">
        <v>423.2</v>
      </c>
      <c r="S91" s="4">
        <v>532.9</v>
      </c>
    </row>
    <row r="92" spans="1:19" x14ac:dyDescent="0.35">
      <c r="A92" s="1"/>
      <c r="B92" s="2"/>
      <c r="C92" s="2"/>
      <c r="D92" s="25" t="s">
        <v>112</v>
      </c>
      <c r="E92" s="4">
        <v>863.6</v>
      </c>
      <c r="F92" s="3">
        <v>508</v>
      </c>
      <c r="G92" s="4">
        <f t="shared" si="3"/>
        <v>844.54000000000008</v>
      </c>
      <c r="H92" s="4">
        <f t="shared" si="3"/>
        <v>488.94</v>
      </c>
      <c r="I92" s="4">
        <f t="shared" si="4"/>
        <v>838.2</v>
      </c>
      <c r="J92" s="4">
        <f t="shared" si="4"/>
        <v>482.6</v>
      </c>
      <c r="K92" s="3">
        <v>9.5299999999999994</v>
      </c>
      <c r="L92" s="3">
        <v>9.5299999999999994</v>
      </c>
      <c r="M92" s="3">
        <v>12.7</v>
      </c>
      <c r="N92" s="3">
        <v>12.7</v>
      </c>
      <c r="O92" s="5">
        <v>558.79999999999995</v>
      </c>
      <c r="P92" s="5">
        <v>635</v>
      </c>
      <c r="Q92" s="5">
        <f t="shared" si="5"/>
        <v>1270</v>
      </c>
      <c r="R92" s="4">
        <v>435.4</v>
      </c>
      <c r="S92" s="4">
        <v>546.6</v>
      </c>
    </row>
    <row r="93" spans="1:19" x14ac:dyDescent="0.35">
      <c r="A93" s="1"/>
      <c r="B93" s="2"/>
      <c r="C93" s="2"/>
      <c r="D93" s="25" t="s">
        <v>113</v>
      </c>
      <c r="E93" s="4">
        <v>863.6</v>
      </c>
      <c r="F93" s="3">
        <v>558.79999999999995</v>
      </c>
      <c r="G93" s="4">
        <f t="shared" si="3"/>
        <v>844.54000000000008</v>
      </c>
      <c r="H93" s="4">
        <f t="shared" si="3"/>
        <v>539.74</v>
      </c>
      <c r="I93" s="4">
        <f t="shared" si="4"/>
        <v>838.2</v>
      </c>
      <c r="J93" s="4">
        <f t="shared" si="4"/>
        <v>533.4</v>
      </c>
      <c r="K93" s="3">
        <v>9.5299999999999994</v>
      </c>
      <c r="L93" s="3">
        <v>9.5299999999999994</v>
      </c>
      <c r="M93" s="3">
        <v>12.7</v>
      </c>
      <c r="N93" s="3">
        <v>12.7</v>
      </c>
      <c r="O93" s="5">
        <v>571.5</v>
      </c>
      <c r="P93" s="5">
        <v>635</v>
      </c>
      <c r="Q93" s="5">
        <f t="shared" si="5"/>
        <v>1270</v>
      </c>
      <c r="R93" s="4">
        <v>447.2</v>
      </c>
      <c r="S93" s="4">
        <v>552.5</v>
      </c>
    </row>
    <row r="94" spans="1:19" x14ac:dyDescent="0.35">
      <c r="A94" s="1"/>
      <c r="B94" s="2"/>
      <c r="C94" s="2"/>
      <c r="D94" s="25" t="s">
        <v>114</v>
      </c>
      <c r="E94" s="4">
        <v>863.6</v>
      </c>
      <c r="F94" s="3">
        <v>609.6</v>
      </c>
      <c r="G94" s="4">
        <f t="shared" si="3"/>
        <v>844.54000000000008</v>
      </c>
      <c r="H94" s="4">
        <f t="shared" si="3"/>
        <v>590.54000000000008</v>
      </c>
      <c r="I94" s="4">
        <f t="shared" si="4"/>
        <v>838.2</v>
      </c>
      <c r="J94" s="4">
        <f t="shared" si="4"/>
        <v>584.20000000000005</v>
      </c>
      <c r="K94" s="3">
        <v>9.5299999999999994</v>
      </c>
      <c r="L94" s="3">
        <v>9.5299999999999994</v>
      </c>
      <c r="M94" s="3">
        <v>12.7</v>
      </c>
      <c r="N94" s="3">
        <v>12.7</v>
      </c>
      <c r="O94" s="5">
        <v>584.20000000000005</v>
      </c>
      <c r="P94" s="5">
        <v>635</v>
      </c>
      <c r="Q94" s="5">
        <f t="shared" si="5"/>
        <v>1270</v>
      </c>
      <c r="R94" s="4">
        <v>459.5</v>
      </c>
      <c r="S94" s="4">
        <v>576.1</v>
      </c>
    </row>
    <row r="95" spans="1:19" x14ac:dyDescent="0.35">
      <c r="A95" s="1"/>
      <c r="B95" s="2"/>
      <c r="C95" s="2"/>
      <c r="D95" s="25" t="s">
        <v>115</v>
      </c>
      <c r="E95" s="4">
        <v>863.6</v>
      </c>
      <c r="F95" s="4">
        <v>660.4</v>
      </c>
      <c r="G95" s="4">
        <f t="shared" si="3"/>
        <v>844.54000000000008</v>
      </c>
      <c r="H95" s="4">
        <f t="shared" si="3"/>
        <v>641.34</v>
      </c>
      <c r="I95" s="4">
        <f t="shared" si="4"/>
        <v>838.2</v>
      </c>
      <c r="J95" s="4">
        <f t="shared" si="4"/>
        <v>635</v>
      </c>
      <c r="K95" s="3">
        <v>9.5299999999999994</v>
      </c>
      <c r="L95" s="3">
        <v>9.5299999999999994</v>
      </c>
      <c r="M95" s="3">
        <v>12.7</v>
      </c>
      <c r="N95" s="3">
        <v>12.7</v>
      </c>
      <c r="O95" s="5">
        <v>596.9</v>
      </c>
      <c r="P95" s="5">
        <v>635</v>
      </c>
      <c r="Q95" s="5">
        <f t="shared" si="5"/>
        <v>1270</v>
      </c>
      <c r="R95" s="4">
        <v>471.3</v>
      </c>
      <c r="S95" s="4">
        <v>589.70000000000005</v>
      </c>
    </row>
    <row r="96" spans="1:19" x14ac:dyDescent="0.35">
      <c r="A96" s="1"/>
      <c r="B96" s="2"/>
      <c r="C96" s="2"/>
      <c r="D96" s="25" t="s">
        <v>116</v>
      </c>
      <c r="E96" s="4">
        <v>863.6</v>
      </c>
      <c r="F96" s="4">
        <v>711.2</v>
      </c>
      <c r="G96" s="4">
        <f t="shared" si="3"/>
        <v>844.54000000000008</v>
      </c>
      <c r="H96" s="4">
        <f t="shared" si="3"/>
        <v>692.1400000000001</v>
      </c>
      <c r="I96" s="4">
        <f t="shared" si="4"/>
        <v>838.2</v>
      </c>
      <c r="J96" s="4">
        <f t="shared" si="4"/>
        <v>685.80000000000007</v>
      </c>
      <c r="K96" s="3">
        <v>9.5299999999999994</v>
      </c>
      <c r="L96" s="3">
        <v>9.5299999999999994</v>
      </c>
      <c r="M96" s="3">
        <v>12.7</v>
      </c>
      <c r="N96" s="3">
        <v>12.7</v>
      </c>
      <c r="O96" s="5">
        <v>596.9</v>
      </c>
      <c r="P96" s="5">
        <v>635</v>
      </c>
      <c r="Q96" s="5">
        <f t="shared" si="5"/>
        <v>1270</v>
      </c>
      <c r="R96" s="4">
        <v>480.4</v>
      </c>
      <c r="S96" s="4">
        <v>601</v>
      </c>
    </row>
    <row r="97" spans="1:19" x14ac:dyDescent="0.35">
      <c r="A97" s="1"/>
      <c r="B97" s="2"/>
      <c r="C97" s="2"/>
      <c r="D97" s="25" t="s">
        <v>117</v>
      </c>
      <c r="E97" s="4">
        <v>863.6</v>
      </c>
      <c r="F97" s="4">
        <v>762</v>
      </c>
      <c r="G97" s="4">
        <f t="shared" si="3"/>
        <v>844.54000000000008</v>
      </c>
      <c r="H97" s="4">
        <f t="shared" si="3"/>
        <v>742.94</v>
      </c>
      <c r="I97" s="4">
        <f t="shared" si="4"/>
        <v>838.2</v>
      </c>
      <c r="J97" s="4">
        <f t="shared" si="4"/>
        <v>736.6</v>
      </c>
      <c r="K97" s="3">
        <v>9.5299999999999994</v>
      </c>
      <c r="L97" s="3">
        <v>9.5299999999999994</v>
      </c>
      <c r="M97" s="3">
        <v>12.7</v>
      </c>
      <c r="N97" s="3">
        <v>12.7</v>
      </c>
      <c r="O97" s="5">
        <v>609.6</v>
      </c>
      <c r="P97" s="5">
        <v>635</v>
      </c>
      <c r="Q97" s="5">
        <f t="shared" si="5"/>
        <v>1270</v>
      </c>
      <c r="R97" s="4">
        <v>492.1</v>
      </c>
      <c r="S97" s="4">
        <v>614.6</v>
      </c>
    </row>
    <row r="98" spans="1:19" x14ac:dyDescent="0.35">
      <c r="A98" s="1"/>
      <c r="B98" s="2"/>
      <c r="C98" s="2"/>
      <c r="D98" s="25" t="s">
        <v>118</v>
      </c>
      <c r="E98" s="4">
        <v>863.6</v>
      </c>
      <c r="F98" s="4">
        <v>812.8</v>
      </c>
      <c r="G98" s="4">
        <f t="shared" si="3"/>
        <v>844.54000000000008</v>
      </c>
      <c r="H98" s="4">
        <f t="shared" si="3"/>
        <v>793.74</v>
      </c>
      <c r="I98" s="4">
        <f t="shared" si="4"/>
        <v>838.2</v>
      </c>
      <c r="J98" s="4">
        <f t="shared" si="4"/>
        <v>787.4</v>
      </c>
      <c r="K98" s="3">
        <v>9.5299999999999994</v>
      </c>
      <c r="L98" s="3">
        <v>9.5299999999999994</v>
      </c>
      <c r="M98" s="3">
        <v>12.7</v>
      </c>
      <c r="N98" s="3">
        <v>12.7</v>
      </c>
      <c r="O98" s="5">
        <v>622.29999999999995</v>
      </c>
      <c r="P98" s="5">
        <v>635</v>
      </c>
      <c r="Q98" s="5">
        <f t="shared" si="5"/>
        <v>1270</v>
      </c>
      <c r="R98" s="4">
        <v>503.9</v>
      </c>
      <c r="S98" s="4">
        <v>630.5</v>
      </c>
    </row>
    <row r="99" spans="1:19" x14ac:dyDescent="0.35">
      <c r="A99" s="1"/>
      <c r="B99" s="2"/>
      <c r="C99" s="2"/>
      <c r="D99" s="25" t="s">
        <v>119</v>
      </c>
      <c r="E99" s="4">
        <v>914.4</v>
      </c>
      <c r="F99" s="3">
        <v>406.4</v>
      </c>
      <c r="G99" s="4">
        <f t="shared" ref="G99:H162" si="6">E99-2*K99</f>
        <v>895.34</v>
      </c>
      <c r="H99" s="4">
        <f t="shared" si="6"/>
        <v>387.34</v>
      </c>
      <c r="I99" s="4">
        <f t="shared" ref="I99:J162" si="7">E99-2*M99</f>
        <v>889</v>
      </c>
      <c r="J99" s="4">
        <f t="shared" si="7"/>
        <v>381</v>
      </c>
      <c r="K99" s="3">
        <v>9.5299999999999994</v>
      </c>
      <c r="L99" s="3">
        <v>9.5299999999999994</v>
      </c>
      <c r="M99" s="3">
        <v>12.7</v>
      </c>
      <c r="N99" s="3">
        <v>12.7</v>
      </c>
      <c r="O99" s="5">
        <v>558.79999999999995</v>
      </c>
      <c r="P99" s="5">
        <v>673.1</v>
      </c>
      <c r="Q99" s="5">
        <f t="shared" ref="Q99:Q162" si="8">2*P99</f>
        <v>1346.2</v>
      </c>
      <c r="R99" s="4">
        <v>460.4</v>
      </c>
      <c r="S99" s="4">
        <v>580.6</v>
      </c>
    </row>
    <row r="100" spans="1:19" x14ac:dyDescent="0.35">
      <c r="A100" s="1"/>
      <c r="B100" s="2"/>
      <c r="C100" s="2"/>
      <c r="D100" s="25" t="s">
        <v>120</v>
      </c>
      <c r="E100" s="4">
        <v>914.4</v>
      </c>
      <c r="F100" s="3">
        <v>457.2</v>
      </c>
      <c r="G100" s="4">
        <f t="shared" si="6"/>
        <v>895.34</v>
      </c>
      <c r="H100" s="4">
        <f t="shared" si="6"/>
        <v>438.14</v>
      </c>
      <c r="I100" s="4">
        <f t="shared" si="7"/>
        <v>889</v>
      </c>
      <c r="J100" s="4">
        <f t="shared" si="7"/>
        <v>431.8</v>
      </c>
      <c r="K100" s="3">
        <v>9.5299999999999994</v>
      </c>
      <c r="L100" s="3">
        <v>9.5299999999999994</v>
      </c>
      <c r="M100" s="3">
        <v>12.7</v>
      </c>
      <c r="N100" s="3">
        <v>12.7</v>
      </c>
      <c r="O100" s="5">
        <v>571.5</v>
      </c>
      <c r="P100" s="5">
        <v>673.1</v>
      </c>
      <c r="Q100" s="5">
        <f t="shared" si="8"/>
        <v>1346.2</v>
      </c>
      <c r="R100" s="4">
        <v>473.6</v>
      </c>
      <c r="S100" s="4">
        <v>596.5</v>
      </c>
    </row>
    <row r="101" spans="1:19" x14ac:dyDescent="0.35">
      <c r="A101" s="1"/>
      <c r="B101" s="2"/>
      <c r="C101" s="2"/>
      <c r="D101" s="25" t="s">
        <v>121</v>
      </c>
      <c r="E101" s="4">
        <v>914.4</v>
      </c>
      <c r="F101" s="3">
        <v>508</v>
      </c>
      <c r="G101" s="4">
        <f t="shared" si="6"/>
        <v>895.34</v>
      </c>
      <c r="H101" s="4">
        <f t="shared" si="6"/>
        <v>488.94</v>
      </c>
      <c r="I101" s="4">
        <f t="shared" si="7"/>
        <v>889</v>
      </c>
      <c r="J101" s="4">
        <f t="shared" si="7"/>
        <v>482.6</v>
      </c>
      <c r="K101" s="3">
        <v>9.5299999999999994</v>
      </c>
      <c r="L101" s="3">
        <v>9.5299999999999994</v>
      </c>
      <c r="M101" s="3">
        <v>12.7</v>
      </c>
      <c r="N101" s="3">
        <v>12.7</v>
      </c>
      <c r="O101" s="5">
        <v>584.20000000000005</v>
      </c>
      <c r="P101" s="5">
        <v>673.1</v>
      </c>
      <c r="Q101" s="5">
        <f t="shared" si="8"/>
        <v>1346.2</v>
      </c>
      <c r="R101" s="4">
        <v>486.3</v>
      </c>
      <c r="S101" s="4">
        <v>610.1</v>
      </c>
    </row>
    <row r="102" spans="1:19" x14ac:dyDescent="0.35">
      <c r="A102" s="1"/>
      <c r="B102" s="2"/>
      <c r="C102" s="2"/>
      <c r="D102" s="25" t="s">
        <v>122</v>
      </c>
      <c r="E102" s="4">
        <v>914.4</v>
      </c>
      <c r="F102" s="3">
        <v>558.79999999999995</v>
      </c>
      <c r="G102" s="4">
        <f t="shared" si="6"/>
        <v>895.34</v>
      </c>
      <c r="H102" s="4">
        <f t="shared" si="6"/>
        <v>539.74</v>
      </c>
      <c r="I102" s="4">
        <f t="shared" si="7"/>
        <v>889</v>
      </c>
      <c r="J102" s="4">
        <f t="shared" si="7"/>
        <v>533.4</v>
      </c>
      <c r="K102" s="3">
        <v>9.5299999999999994</v>
      </c>
      <c r="L102" s="3">
        <v>9.5299999999999994</v>
      </c>
      <c r="M102" s="3">
        <v>12.7</v>
      </c>
      <c r="N102" s="3">
        <v>12.7</v>
      </c>
      <c r="O102" s="5">
        <v>596.9</v>
      </c>
      <c r="P102" s="5">
        <v>673.1</v>
      </c>
      <c r="Q102" s="5">
        <f t="shared" si="8"/>
        <v>1346.2</v>
      </c>
      <c r="R102" s="4">
        <v>499</v>
      </c>
      <c r="S102" s="4">
        <v>626</v>
      </c>
    </row>
    <row r="103" spans="1:19" x14ac:dyDescent="0.35">
      <c r="A103" s="1"/>
      <c r="B103" s="2"/>
      <c r="C103" s="2"/>
      <c r="D103" s="25" t="s">
        <v>123</v>
      </c>
      <c r="E103" s="4">
        <v>914.4</v>
      </c>
      <c r="F103" s="3">
        <v>609.6</v>
      </c>
      <c r="G103" s="4">
        <f t="shared" si="6"/>
        <v>895.34</v>
      </c>
      <c r="H103" s="4">
        <f t="shared" si="6"/>
        <v>590.54000000000008</v>
      </c>
      <c r="I103" s="4">
        <f t="shared" si="7"/>
        <v>889</v>
      </c>
      <c r="J103" s="4">
        <f t="shared" si="7"/>
        <v>584.20000000000005</v>
      </c>
      <c r="K103" s="3">
        <v>9.5299999999999994</v>
      </c>
      <c r="L103" s="3">
        <v>9.5299999999999994</v>
      </c>
      <c r="M103" s="3">
        <v>12.7</v>
      </c>
      <c r="N103" s="3">
        <v>12.7</v>
      </c>
      <c r="O103" s="5">
        <v>609.6</v>
      </c>
      <c r="P103" s="5">
        <v>673.1</v>
      </c>
      <c r="Q103" s="5">
        <f t="shared" si="8"/>
        <v>1346.2</v>
      </c>
      <c r="R103" s="4">
        <v>512.1</v>
      </c>
      <c r="S103" s="4">
        <v>641.79999999999995</v>
      </c>
    </row>
    <row r="104" spans="1:19" x14ac:dyDescent="0.35">
      <c r="A104" s="1"/>
      <c r="B104" s="2"/>
      <c r="C104" s="2"/>
      <c r="D104" s="25" t="s">
        <v>124</v>
      </c>
      <c r="E104" s="4">
        <v>914.4</v>
      </c>
      <c r="F104" s="4">
        <v>660.4</v>
      </c>
      <c r="G104" s="4">
        <f t="shared" si="6"/>
        <v>895.34</v>
      </c>
      <c r="H104" s="4">
        <f t="shared" si="6"/>
        <v>641.34</v>
      </c>
      <c r="I104" s="4">
        <f t="shared" si="7"/>
        <v>889</v>
      </c>
      <c r="J104" s="4">
        <f t="shared" si="7"/>
        <v>635</v>
      </c>
      <c r="K104" s="3">
        <v>9.5299999999999994</v>
      </c>
      <c r="L104" s="3">
        <v>9.5299999999999994</v>
      </c>
      <c r="M104" s="3">
        <v>12.7</v>
      </c>
      <c r="N104" s="3">
        <v>12.7</v>
      </c>
      <c r="O104" s="5">
        <v>622.29999999999995</v>
      </c>
      <c r="P104" s="5">
        <v>673.1</v>
      </c>
      <c r="Q104" s="5">
        <f t="shared" si="8"/>
        <v>1346.2</v>
      </c>
      <c r="R104" s="4">
        <v>525.29999999999995</v>
      </c>
      <c r="S104" s="4">
        <v>653.20000000000005</v>
      </c>
    </row>
    <row r="105" spans="1:19" x14ac:dyDescent="0.35">
      <c r="A105" s="1"/>
      <c r="B105" s="2"/>
      <c r="C105" s="2"/>
      <c r="D105" s="25" t="s">
        <v>125</v>
      </c>
      <c r="E105" s="4">
        <v>914.4</v>
      </c>
      <c r="F105" s="4">
        <v>711.2</v>
      </c>
      <c r="G105" s="4">
        <f t="shared" si="6"/>
        <v>895.34</v>
      </c>
      <c r="H105" s="4">
        <f t="shared" si="6"/>
        <v>692.1400000000001</v>
      </c>
      <c r="I105" s="4">
        <f t="shared" si="7"/>
        <v>889</v>
      </c>
      <c r="J105" s="4">
        <f t="shared" si="7"/>
        <v>685.80000000000007</v>
      </c>
      <c r="K105" s="3">
        <v>9.5299999999999994</v>
      </c>
      <c r="L105" s="3">
        <v>9.5299999999999994</v>
      </c>
      <c r="M105" s="3">
        <v>12.7</v>
      </c>
      <c r="N105" s="3">
        <v>12.7</v>
      </c>
      <c r="O105" s="5">
        <v>622.29999999999995</v>
      </c>
      <c r="P105" s="5">
        <v>673.1</v>
      </c>
      <c r="Q105" s="5">
        <f t="shared" si="8"/>
        <v>1346.2</v>
      </c>
      <c r="R105" s="4">
        <v>535.70000000000005</v>
      </c>
      <c r="S105" s="4">
        <v>669</v>
      </c>
    </row>
    <row r="106" spans="1:19" x14ac:dyDescent="0.35">
      <c r="A106" s="1"/>
      <c r="B106" s="2"/>
      <c r="C106" s="2"/>
      <c r="D106" s="25" t="s">
        <v>126</v>
      </c>
      <c r="E106" s="4">
        <v>914.4</v>
      </c>
      <c r="F106" s="4">
        <v>762</v>
      </c>
      <c r="G106" s="4">
        <f t="shared" si="6"/>
        <v>895.34</v>
      </c>
      <c r="H106" s="4">
        <f t="shared" si="6"/>
        <v>742.94</v>
      </c>
      <c r="I106" s="4">
        <f t="shared" si="7"/>
        <v>889</v>
      </c>
      <c r="J106" s="4">
        <f t="shared" si="7"/>
        <v>736.6</v>
      </c>
      <c r="K106" s="3">
        <v>9.5299999999999994</v>
      </c>
      <c r="L106" s="3">
        <v>9.5299999999999994</v>
      </c>
      <c r="M106" s="3">
        <v>12.7</v>
      </c>
      <c r="N106" s="3">
        <v>12.7</v>
      </c>
      <c r="O106" s="5">
        <v>635</v>
      </c>
      <c r="P106" s="5">
        <v>673.1</v>
      </c>
      <c r="Q106" s="5">
        <f t="shared" si="8"/>
        <v>1346.2</v>
      </c>
      <c r="R106" s="4">
        <v>547.5</v>
      </c>
      <c r="S106" s="4">
        <v>684.9</v>
      </c>
    </row>
    <row r="107" spans="1:19" x14ac:dyDescent="0.35">
      <c r="A107" s="1"/>
      <c r="B107" s="2"/>
      <c r="C107" s="2"/>
      <c r="D107" s="25" t="s">
        <v>127</v>
      </c>
      <c r="E107" s="4">
        <v>914.4</v>
      </c>
      <c r="F107" s="4">
        <v>812.8</v>
      </c>
      <c r="G107" s="4">
        <f t="shared" si="6"/>
        <v>895.34</v>
      </c>
      <c r="H107" s="4">
        <f t="shared" si="6"/>
        <v>793.74</v>
      </c>
      <c r="I107" s="4">
        <f t="shared" si="7"/>
        <v>889</v>
      </c>
      <c r="J107" s="4">
        <f t="shared" si="7"/>
        <v>787.4</v>
      </c>
      <c r="K107" s="3">
        <v>9.5299999999999994</v>
      </c>
      <c r="L107" s="3">
        <v>9.5299999999999994</v>
      </c>
      <c r="M107" s="3">
        <v>12.7</v>
      </c>
      <c r="N107" s="3">
        <v>12.7</v>
      </c>
      <c r="O107" s="5">
        <v>647.70000000000005</v>
      </c>
      <c r="P107" s="5">
        <v>673.1</v>
      </c>
      <c r="Q107" s="5">
        <f t="shared" si="8"/>
        <v>1346.2</v>
      </c>
      <c r="R107" s="4">
        <v>561.1</v>
      </c>
      <c r="S107" s="4">
        <v>698.5</v>
      </c>
    </row>
    <row r="108" spans="1:19" x14ac:dyDescent="0.35">
      <c r="A108" s="1"/>
      <c r="B108" s="2"/>
      <c r="C108" s="2"/>
      <c r="D108" s="25" t="s">
        <v>128</v>
      </c>
      <c r="E108" s="4">
        <v>914.4</v>
      </c>
      <c r="F108" s="4">
        <v>863.6</v>
      </c>
      <c r="G108" s="4">
        <f t="shared" si="6"/>
        <v>895.34</v>
      </c>
      <c r="H108" s="4">
        <f t="shared" si="6"/>
        <v>844.54000000000008</v>
      </c>
      <c r="I108" s="4">
        <f t="shared" si="7"/>
        <v>889</v>
      </c>
      <c r="J108" s="4">
        <f t="shared" si="7"/>
        <v>838.2</v>
      </c>
      <c r="K108" s="3">
        <v>9.5299999999999994</v>
      </c>
      <c r="L108" s="3">
        <v>9.5299999999999994</v>
      </c>
      <c r="M108" s="3">
        <v>12.7</v>
      </c>
      <c r="N108" s="3">
        <v>12.7</v>
      </c>
      <c r="O108" s="5">
        <v>650.4</v>
      </c>
      <c r="P108" s="5">
        <v>673.1</v>
      </c>
      <c r="Q108" s="5">
        <f t="shared" si="8"/>
        <v>1346.2</v>
      </c>
      <c r="R108" s="4">
        <v>573.29999999999995</v>
      </c>
      <c r="S108" s="4">
        <v>714.4</v>
      </c>
    </row>
    <row r="109" spans="1:19" x14ac:dyDescent="0.35">
      <c r="A109" s="1"/>
      <c r="B109" s="2"/>
      <c r="C109" s="2"/>
      <c r="D109" s="25" t="s">
        <v>129</v>
      </c>
      <c r="E109" s="4">
        <v>965.2</v>
      </c>
      <c r="F109" s="3">
        <v>457.2</v>
      </c>
      <c r="G109" s="4">
        <f t="shared" si="6"/>
        <v>946.1400000000001</v>
      </c>
      <c r="H109" s="4">
        <f t="shared" si="6"/>
        <v>438.14</v>
      </c>
      <c r="I109" s="4">
        <f t="shared" si="7"/>
        <v>939.80000000000007</v>
      </c>
      <c r="J109" s="4">
        <f t="shared" si="7"/>
        <v>431.8</v>
      </c>
      <c r="K109" s="3">
        <v>9.5299999999999994</v>
      </c>
      <c r="L109" s="3">
        <v>9.5299999999999994</v>
      </c>
      <c r="M109" s="3">
        <v>12.7</v>
      </c>
      <c r="N109" s="3">
        <v>12.7</v>
      </c>
      <c r="O109" s="5">
        <v>596.9</v>
      </c>
      <c r="P109" s="5">
        <v>711.2</v>
      </c>
      <c r="Q109" s="5">
        <f t="shared" si="8"/>
        <v>1422.4</v>
      </c>
      <c r="R109" s="4" t="s">
        <v>130</v>
      </c>
      <c r="S109" s="4" t="s">
        <v>130</v>
      </c>
    </row>
    <row r="110" spans="1:19" x14ac:dyDescent="0.35">
      <c r="A110" s="1"/>
      <c r="B110" s="2"/>
      <c r="C110" s="2"/>
      <c r="D110" s="25" t="s">
        <v>131</v>
      </c>
      <c r="E110" s="4">
        <v>965.2</v>
      </c>
      <c r="F110" s="3">
        <v>508</v>
      </c>
      <c r="G110" s="4">
        <f t="shared" si="6"/>
        <v>946.1400000000001</v>
      </c>
      <c r="H110" s="4">
        <f t="shared" si="6"/>
        <v>488.94</v>
      </c>
      <c r="I110" s="4">
        <f t="shared" si="7"/>
        <v>939.80000000000007</v>
      </c>
      <c r="J110" s="4">
        <f t="shared" si="7"/>
        <v>482.6</v>
      </c>
      <c r="K110" s="3">
        <v>9.5299999999999994</v>
      </c>
      <c r="L110" s="3">
        <v>9.5299999999999994</v>
      </c>
      <c r="M110" s="3">
        <v>12.7</v>
      </c>
      <c r="N110" s="3">
        <v>12.7</v>
      </c>
      <c r="O110" s="5">
        <v>609.6</v>
      </c>
      <c r="P110" s="5">
        <v>711.2</v>
      </c>
      <c r="Q110" s="5">
        <f t="shared" si="8"/>
        <v>1422.4</v>
      </c>
      <c r="R110" s="4" t="s">
        <v>130</v>
      </c>
      <c r="S110" s="4" t="s">
        <v>130</v>
      </c>
    </row>
    <row r="111" spans="1:19" x14ac:dyDescent="0.35">
      <c r="A111" s="1"/>
      <c r="B111" s="2"/>
      <c r="C111" s="2"/>
      <c r="D111" s="25" t="s">
        <v>132</v>
      </c>
      <c r="E111" s="4">
        <v>965.2</v>
      </c>
      <c r="F111" s="3">
        <v>609.6</v>
      </c>
      <c r="G111" s="4">
        <f t="shared" si="6"/>
        <v>946.1400000000001</v>
      </c>
      <c r="H111" s="4">
        <f t="shared" si="6"/>
        <v>590.54000000000008</v>
      </c>
      <c r="I111" s="4">
        <f t="shared" si="7"/>
        <v>939.80000000000007</v>
      </c>
      <c r="J111" s="4">
        <f t="shared" si="7"/>
        <v>584.20000000000005</v>
      </c>
      <c r="K111" s="3">
        <v>9.5299999999999994</v>
      </c>
      <c r="L111" s="3">
        <v>9.5299999999999994</v>
      </c>
      <c r="M111" s="3">
        <v>12.7</v>
      </c>
      <c r="N111" s="3">
        <v>12.7</v>
      </c>
      <c r="O111" s="5">
        <v>635</v>
      </c>
      <c r="P111" s="5">
        <v>711.2</v>
      </c>
      <c r="Q111" s="5">
        <f t="shared" si="8"/>
        <v>1422.4</v>
      </c>
      <c r="R111" s="4" t="s">
        <v>130</v>
      </c>
      <c r="S111" s="4" t="s">
        <v>130</v>
      </c>
    </row>
    <row r="112" spans="1:19" x14ac:dyDescent="0.35">
      <c r="A112" s="1"/>
      <c r="B112" s="2"/>
      <c r="C112" s="2"/>
      <c r="D112" s="25" t="s">
        <v>133</v>
      </c>
      <c r="E112" s="4">
        <v>965.2</v>
      </c>
      <c r="F112" s="4">
        <v>660.4</v>
      </c>
      <c r="G112" s="4">
        <f t="shared" si="6"/>
        <v>946.1400000000001</v>
      </c>
      <c r="H112" s="4">
        <f t="shared" si="6"/>
        <v>641.34</v>
      </c>
      <c r="I112" s="4">
        <f t="shared" si="7"/>
        <v>939.80000000000007</v>
      </c>
      <c r="J112" s="4">
        <f t="shared" si="7"/>
        <v>635</v>
      </c>
      <c r="K112" s="3">
        <v>9.5299999999999994</v>
      </c>
      <c r="L112" s="3">
        <v>9.5299999999999994</v>
      </c>
      <c r="M112" s="3">
        <v>12.7</v>
      </c>
      <c r="N112" s="3">
        <v>12.7</v>
      </c>
      <c r="O112" s="5">
        <v>647.70000000000005</v>
      </c>
      <c r="P112" s="5">
        <v>711.2</v>
      </c>
      <c r="Q112" s="5">
        <f t="shared" si="8"/>
        <v>1422.4</v>
      </c>
      <c r="R112" s="4" t="s">
        <v>130</v>
      </c>
      <c r="S112" s="4" t="s">
        <v>130</v>
      </c>
    </row>
    <row r="113" spans="1:19" x14ac:dyDescent="0.35">
      <c r="A113" s="1"/>
      <c r="B113" s="2"/>
      <c r="C113" s="2"/>
      <c r="D113" s="25" t="s">
        <v>134</v>
      </c>
      <c r="E113" s="4">
        <v>965.2</v>
      </c>
      <c r="F113" s="4">
        <v>711.2</v>
      </c>
      <c r="G113" s="4">
        <f t="shared" si="6"/>
        <v>946.1400000000001</v>
      </c>
      <c r="H113" s="4">
        <f t="shared" si="6"/>
        <v>692.1400000000001</v>
      </c>
      <c r="I113" s="4">
        <f t="shared" si="7"/>
        <v>939.80000000000007</v>
      </c>
      <c r="J113" s="4">
        <f t="shared" si="7"/>
        <v>685.80000000000007</v>
      </c>
      <c r="K113" s="3">
        <v>9.5299999999999994</v>
      </c>
      <c r="L113" s="3">
        <v>9.5299999999999994</v>
      </c>
      <c r="M113" s="3">
        <v>12.7</v>
      </c>
      <c r="N113" s="3">
        <v>12.7</v>
      </c>
      <c r="O113" s="5">
        <v>647.70000000000005</v>
      </c>
      <c r="P113" s="5">
        <v>711.2</v>
      </c>
      <c r="Q113" s="5">
        <f t="shared" si="8"/>
        <v>1422.4</v>
      </c>
      <c r="R113" s="4" t="s">
        <v>130</v>
      </c>
      <c r="S113" s="4" t="s">
        <v>130</v>
      </c>
    </row>
    <row r="114" spans="1:19" x14ac:dyDescent="0.35">
      <c r="A114" s="1"/>
      <c r="B114" s="2"/>
      <c r="C114" s="2"/>
      <c r="D114" s="25" t="s">
        <v>135</v>
      </c>
      <c r="E114" s="4">
        <v>965.2</v>
      </c>
      <c r="F114" s="4">
        <v>762</v>
      </c>
      <c r="G114" s="4">
        <f t="shared" si="6"/>
        <v>946.1400000000001</v>
      </c>
      <c r="H114" s="4">
        <f t="shared" si="6"/>
        <v>742.94</v>
      </c>
      <c r="I114" s="4">
        <f t="shared" si="7"/>
        <v>939.80000000000007</v>
      </c>
      <c r="J114" s="4">
        <f t="shared" si="7"/>
        <v>736.6</v>
      </c>
      <c r="K114" s="3">
        <v>9.5299999999999994</v>
      </c>
      <c r="L114" s="3">
        <v>9.5299999999999994</v>
      </c>
      <c r="M114" s="3">
        <v>12.7</v>
      </c>
      <c r="N114" s="3">
        <v>12.7</v>
      </c>
      <c r="O114" s="5">
        <v>673.1</v>
      </c>
      <c r="P114" s="5">
        <v>711.2</v>
      </c>
      <c r="Q114" s="5">
        <f t="shared" si="8"/>
        <v>1422.4</v>
      </c>
      <c r="R114" s="4" t="s">
        <v>130</v>
      </c>
      <c r="S114" s="4" t="s">
        <v>130</v>
      </c>
    </row>
    <row r="115" spans="1:19" x14ac:dyDescent="0.35">
      <c r="A115" s="1"/>
      <c r="B115" s="2"/>
      <c r="C115" s="2"/>
      <c r="D115" s="25" t="s">
        <v>136</v>
      </c>
      <c r="E115" s="4">
        <v>965.2</v>
      </c>
      <c r="F115" s="4">
        <v>812.8</v>
      </c>
      <c r="G115" s="4">
        <f t="shared" si="6"/>
        <v>946.1400000000001</v>
      </c>
      <c r="H115" s="4">
        <f t="shared" si="6"/>
        <v>793.74</v>
      </c>
      <c r="I115" s="4">
        <f t="shared" si="7"/>
        <v>939.80000000000007</v>
      </c>
      <c r="J115" s="4">
        <f t="shared" si="7"/>
        <v>787.4</v>
      </c>
      <c r="K115" s="3">
        <v>9.5299999999999994</v>
      </c>
      <c r="L115" s="3">
        <v>9.5299999999999994</v>
      </c>
      <c r="M115" s="3">
        <v>12.7</v>
      </c>
      <c r="N115" s="3">
        <v>12.7</v>
      </c>
      <c r="O115" s="5">
        <v>685.8</v>
      </c>
      <c r="P115" s="5">
        <v>711.2</v>
      </c>
      <c r="Q115" s="5">
        <f t="shared" si="8"/>
        <v>1422.4</v>
      </c>
      <c r="R115" s="4" t="s">
        <v>130</v>
      </c>
      <c r="S115" s="4" t="s">
        <v>130</v>
      </c>
    </row>
    <row r="116" spans="1:19" x14ac:dyDescent="0.35">
      <c r="A116" s="1"/>
      <c r="B116" s="2"/>
      <c r="C116" s="2"/>
      <c r="D116" s="25" t="s">
        <v>137</v>
      </c>
      <c r="E116" s="4">
        <v>965.2</v>
      </c>
      <c r="F116" s="4">
        <v>863.6</v>
      </c>
      <c r="G116" s="4">
        <f t="shared" si="6"/>
        <v>946.1400000000001</v>
      </c>
      <c r="H116" s="4">
        <f t="shared" si="6"/>
        <v>844.54000000000008</v>
      </c>
      <c r="I116" s="4">
        <f t="shared" si="7"/>
        <v>939.80000000000007</v>
      </c>
      <c r="J116" s="4">
        <f t="shared" si="7"/>
        <v>838.2</v>
      </c>
      <c r="K116" s="3">
        <v>9.5299999999999994</v>
      </c>
      <c r="L116" s="3">
        <v>9.5299999999999994</v>
      </c>
      <c r="M116" s="3">
        <v>12.7</v>
      </c>
      <c r="N116" s="3">
        <v>12.7</v>
      </c>
      <c r="O116" s="5">
        <v>698.5</v>
      </c>
      <c r="P116" s="5">
        <v>711.2</v>
      </c>
      <c r="Q116" s="5">
        <f t="shared" si="8"/>
        <v>1422.4</v>
      </c>
      <c r="R116" s="4" t="s">
        <v>130</v>
      </c>
      <c r="S116" s="4" t="s">
        <v>130</v>
      </c>
    </row>
    <row r="117" spans="1:19" x14ac:dyDescent="0.35">
      <c r="A117" s="1"/>
      <c r="B117" s="2"/>
      <c r="C117" s="2"/>
      <c r="D117" s="25" t="s">
        <v>138</v>
      </c>
      <c r="E117" s="4">
        <v>965.2</v>
      </c>
      <c r="F117" s="4">
        <v>914.4</v>
      </c>
      <c r="G117" s="4">
        <f t="shared" si="6"/>
        <v>946.1400000000001</v>
      </c>
      <c r="H117" s="4">
        <f t="shared" si="6"/>
        <v>895.34</v>
      </c>
      <c r="I117" s="4">
        <f t="shared" si="7"/>
        <v>939.80000000000007</v>
      </c>
      <c r="J117" s="4">
        <f t="shared" si="7"/>
        <v>889</v>
      </c>
      <c r="K117" s="3">
        <v>9.5299999999999994</v>
      </c>
      <c r="L117" s="3">
        <v>9.5299999999999994</v>
      </c>
      <c r="M117" s="3">
        <v>12.7</v>
      </c>
      <c r="N117" s="3">
        <v>12.7</v>
      </c>
      <c r="O117" s="5">
        <v>711.2</v>
      </c>
      <c r="P117" s="5">
        <v>711.2</v>
      </c>
      <c r="Q117" s="5">
        <f t="shared" si="8"/>
        <v>1422.4</v>
      </c>
      <c r="R117" s="4" t="s">
        <v>130</v>
      </c>
      <c r="S117" s="4" t="s">
        <v>130</v>
      </c>
    </row>
    <row r="118" spans="1:19" x14ac:dyDescent="0.35">
      <c r="A118" s="1"/>
      <c r="B118" s="2"/>
      <c r="C118" s="2"/>
      <c r="D118" s="25" t="s">
        <v>139</v>
      </c>
      <c r="E118" s="4">
        <v>1016</v>
      </c>
      <c r="F118" s="3">
        <v>508</v>
      </c>
      <c r="G118" s="4">
        <f t="shared" si="6"/>
        <v>996.94</v>
      </c>
      <c r="H118" s="4">
        <f t="shared" si="6"/>
        <v>488.94</v>
      </c>
      <c r="I118" s="4">
        <f t="shared" si="7"/>
        <v>990.6</v>
      </c>
      <c r="J118" s="4">
        <f t="shared" si="7"/>
        <v>482.6</v>
      </c>
      <c r="K118" s="3">
        <v>9.5299999999999994</v>
      </c>
      <c r="L118" s="3">
        <v>9.5299999999999994</v>
      </c>
      <c r="M118" s="3">
        <v>12.7</v>
      </c>
      <c r="N118" s="3">
        <v>12.7</v>
      </c>
      <c r="O118" s="5">
        <v>635</v>
      </c>
      <c r="P118" s="5">
        <v>749.3</v>
      </c>
      <c r="Q118" s="5">
        <f t="shared" si="8"/>
        <v>1498.6</v>
      </c>
      <c r="R118" s="4" t="s">
        <v>130</v>
      </c>
      <c r="S118" s="4" t="s">
        <v>130</v>
      </c>
    </row>
    <row r="119" spans="1:19" x14ac:dyDescent="0.35">
      <c r="A119" s="1"/>
      <c r="B119" s="2"/>
      <c r="C119" s="2"/>
      <c r="D119" s="25" t="s">
        <v>140</v>
      </c>
      <c r="E119" s="4">
        <v>1016</v>
      </c>
      <c r="F119" s="3">
        <v>558.79999999999995</v>
      </c>
      <c r="G119" s="4">
        <f t="shared" si="6"/>
        <v>996.94</v>
      </c>
      <c r="H119" s="4">
        <f t="shared" si="6"/>
        <v>539.74</v>
      </c>
      <c r="I119" s="4">
        <f t="shared" si="7"/>
        <v>990.6</v>
      </c>
      <c r="J119" s="4">
        <f t="shared" si="7"/>
        <v>533.4</v>
      </c>
      <c r="K119" s="3">
        <v>9.5299999999999994</v>
      </c>
      <c r="L119" s="3">
        <v>9.5299999999999994</v>
      </c>
      <c r="M119" s="3">
        <v>12.7</v>
      </c>
      <c r="N119" s="3">
        <v>12.7</v>
      </c>
      <c r="O119" s="5">
        <v>647.70000000000005</v>
      </c>
      <c r="P119" s="5">
        <v>749.3</v>
      </c>
      <c r="Q119" s="5">
        <f t="shared" si="8"/>
        <v>1498.6</v>
      </c>
      <c r="R119" s="4" t="s">
        <v>130</v>
      </c>
      <c r="S119" s="4" t="s">
        <v>130</v>
      </c>
    </row>
    <row r="120" spans="1:19" x14ac:dyDescent="0.35">
      <c r="A120" s="1"/>
      <c r="B120" s="2"/>
      <c r="C120" s="2"/>
      <c r="D120" s="25" t="s">
        <v>141</v>
      </c>
      <c r="E120" s="4">
        <v>1016</v>
      </c>
      <c r="F120" s="3">
        <v>609.6</v>
      </c>
      <c r="G120" s="4">
        <f t="shared" si="6"/>
        <v>996.94</v>
      </c>
      <c r="H120" s="4">
        <f t="shared" si="6"/>
        <v>590.54000000000008</v>
      </c>
      <c r="I120" s="4">
        <f t="shared" si="7"/>
        <v>990.6</v>
      </c>
      <c r="J120" s="4">
        <f t="shared" si="7"/>
        <v>584.20000000000005</v>
      </c>
      <c r="K120" s="3">
        <v>9.5299999999999994</v>
      </c>
      <c r="L120" s="3">
        <v>9.5299999999999994</v>
      </c>
      <c r="M120" s="3">
        <v>12.7</v>
      </c>
      <c r="N120" s="3">
        <v>12.7</v>
      </c>
      <c r="O120" s="5">
        <v>660.4</v>
      </c>
      <c r="P120" s="5">
        <v>749.3</v>
      </c>
      <c r="Q120" s="5">
        <f t="shared" si="8"/>
        <v>1498.6</v>
      </c>
      <c r="R120" s="4" t="s">
        <v>130</v>
      </c>
      <c r="S120" s="4" t="s">
        <v>130</v>
      </c>
    </row>
    <row r="121" spans="1:19" x14ac:dyDescent="0.35">
      <c r="A121" s="1"/>
      <c r="B121" s="2"/>
      <c r="C121" s="2"/>
      <c r="D121" s="25" t="s">
        <v>142</v>
      </c>
      <c r="E121" s="4">
        <v>1016</v>
      </c>
      <c r="F121" s="4">
        <v>660.4</v>
      </c>
      <c r="G121" s="4">
        <f t="shared" si="6"/>
        <v>996.94</v>
      </c>
      <c r="H121" s="4">
        <f t="shared" si="6"/>
        <v>641.34</v>
      </c>
      <c r="I121" s="4">
        <f t="shared" si="7"/>
        <v>990.6</v>
      </c>
      <c r="J121" s="4">
        <f t="shared" si="7"/>
        <v>635</v>
      </c>
      <c r="K121" s="3">
        <v>9.5299999999999994</v>
      </c>
      <c r="L121" s="3">
        <v>9.5299999999999994</v>
      </c>
      <c r="M121" s="3">
        <v>12.7</v>
      </c>
      <c r="N121" s="3">
        <v>12.7</v>
      </c>
      <c r="O121" s="5">
        <v>673.1</v>
      </c>
      <c r="P121" s="5">
        <v>749.3</v>
      </c>
      <c r="Q121" s="5">
        <f t="shared" si="8"/>
        <v>1498.6</v>
      </c>
      <c r="R121" s="4" t="s">
        <v>130</v>
      </c>
      <c r="S121" s="4" t="s">
        <v>130</v>
      </c>
    </row>
    <row r="122" spans="1:19" x14ac:dyDescent="0.35">
      <c r="A122" s="1"/>
      <c r="B122" s="2"/>
      <c r="C122" s="2"/>
      <c r="D122" s="25" t="s">
        <v>143</v>
      </c>
      <c r="E122" s="4">
        <v>1016</v>
      </c>
      <c r="F122" s="4">
        <v>711.2</v>
      </c>
      <c r="G122" s="4">
        <f t="shared" si="6"/>
        <v>996.94</v>
      </c>
      <c r="H122" s="4">
        <f t="shared" si="6"/>
        <v>692.1400000000001</v>
      </c>
      <c r="I122" s="4">
        <f t="shared" si="7"/>
        <v>990.6</v>
      </c>
      <c r="J122" s="4">
        <f t="shared" si="7"/>
        <v>685.80000000000007</v>
      </c>
      <c r="K122" s="3">
        <v>9.5299999999999994</v>
      </c>
      <c r="L122" s="3">
        <v>9.5299999999999994</v>
      </c>
      <c r="M122" s="3">
        <v>12.7</v>
      </c>
      <c r="N122" s="3">
        <v>12.7</v>
      </c>
      <c r="O122" s="5">
        <v>673.1</v>
      </c>
      <c r="P122" s="5">
        <v>749.3</v>
      </c>
      <c r="Q122" s="5">
        <f t="shared" si="8"/>
        <v>1498.6</v>
      </c>
      <c r="R122" s="4" t="s">
        <v>130</v>
      </c>
      <c r="S122" s="4" t="s">
        <v>130</v>
      </c>
    </row>
    <row r="123" spans="1:19" x14ac:dyDescent="0.35">
      <c r="A123" s="1"/>
      <c r="B123" s="2"/>
      <c r="C123" s="2"/>
      <c r="D123" s="25" t="s">
        <v>144</v>
      </c>
      <c r="E123" s="4">
        <v>1016</v>
      </c>
      <c r="F123" s="4">
        <v>762</v>
      </c>
      <c r="G123" s="4">
        <f t="shared" si="6"/>
        <v>996.94</v>
      </c>
      <c r="H123" s="4">
        <f t="shared" si="6"/>
        <v>742.94</v>
      </c>
      <c r="I123" s="4">
        <f t="shared" si="7"/>
        <v>990.6</v>
      </c>
      <c r="J123" s="4">
        <f t="shared" si="7"/>
        <v>736.6</v>
      </c>
      <c r="K123" s="3">
        <v>9.5299999999999994</v>
      </c>
      <c r="L123" s="3">
        <v>9.5299999999999994</v>
      </c>
      <c r="M123" s="3">
        <v>12.7</v>
      </c>
      <c r="N123" s="3">
        <v>12.7</v>
      </c>
      <c r="O123" s="5">
        <v>698.5</v>
      </c>
      <c r="P123" s="5">
        <v>749.3</v>
      </c>
      <c r="Q123" s="5">
        <f t="shared" si="8"/>
        <v>1498.6</v>
      </c>
      <c r="R123" s="4" t="s">
        <v>130</v>
      </c>
      <c r="S123" s="4" t="s">
        <v>130</v>
      </c>
    </row>
    <row r="124" spans="1:19" x14ac:dyDescent="0.35">
      <c r="A124" s="1"/>
      <c r="B124" s="2"/>
      <c r="C124" s="2"/>
      <c r="D124" s="25" t="s">
        <v>145</v>
      </c>
      <c r="E124" s="4">
        <v>1016</v>
      </c>
      <c r="F124" s="4">
        <v>812.8</v>
      </c>
      <c r="G124" s="4">
        <f t="shared" si="6"/>
        <v>996.94</v>
      </c>
      <c r="H124" s="4">
        <f t="shared" si="6"/>
        <v>793.74</v>
      </c>
      <c r="I124" s="4">
        <f t="shared" si="7"/>
        <v>990.6</v>
      </c>
      <c r="J124" s="4">
        <f t="shared" si="7"/>
        <v>787.4</v>
      </c>
      <c r="K124" s="3">
        <v>9.5299999999999994</v>
      </c>
      <c r="L124" s="3">
        <v>9.5299999999999994</v>
      </c>
      <c r="M124" s="3">
        <v>12.7</v>
      </c>
      <c r="N124" s="3">
        <v>12.7</v>
      </c>
      <c r="O124" s="5">
        <v>711.2</v>
      </c>
      <c r="P124" s="5">
        <v>749.3</v>
      </c>
      <c r="Q124" s="5">
        <f t="shared" si="8"/>
        <v>1498.6</v>
      </c>
      <c r="R124" s="4" t="s">
        <v>130</v>
      </c>
      <c r="S124" s="4" t="s">
        <v>130</v>
      </c>
    </row>
    <row r="125" spans="1:19" x14ac:dyDescent="0.35">
      <c r="A125" s="1"/>
      <c r="B125" s="2"/>
      <c r="C125" s="2"/>
      <c r="D125" s="25" t="s">
        <v>146</v>
      </c>
      <c r="E125" s="4">
        <v>1016</v>
      </c>
      <c r="F125" s="4">
        <v>863.6</v>
      </c>
      <c r="G125" s="4">
        <f t="shared" si="6"/>
        <v>996.94</v>
      </c>
      <c r="H125" s="4">
        <f t="shared" si="6"/>
        <v>844.54000000000008</v>
      </c>
      <c r="I125" s="4">
        <f t="shared" si="7"/>
        <v>990.6</v>
      </c>
      <c r="J125" s="4">
        <f t="shared" si="7"/>
        <v>838.2</v>
      </c>
      <c r="K125" s="3">
        <v>9.5299999999999994</v>
      </c>
      <c r="L125" s="3">
        <v>9.5299999999999994</v>
      </c>
      <c r="M125" s="3">
        <v>12.7</v>
      </c>
      <c r="N125" s="3">
        <v>12.7</v>
      </c>
      <c r="O125" s="5">
        <v>723.9</v>
      </c>
      <c r="P125" s="5">
        <v>749.3</v>
      </c>
      <c r="Q125" s="5">
        <f t="shared" si="8"/>
        <v>1498.6</v>
      </c>
      <c r="R125" s="4" t="s">
        <v>130</v>
      </c>
      <c r="S125" s="4" t="s">
        <v>130</v>
      </c>
    </row>
    <row r="126" spans="1:19" x14ac:dyDescent="0.35">
      <c r="A126" s="1"/>
      <c r="B126" s="2"/>
      <c r="C126" s="2"/>
      <c r="D126" s="25" t="s">
        <v>147</v>
      </c>
      <c r="E126" s="4">
        <v>1016</v>
      </c>
      <c r="F126" s="4">
        <v>914.4</v>
      </c>
      <c r="G126" s="4">
        <f t="shared" si="6"/>
        <v>996.94</v>
      </c>
      <c r="H126" s="4">
        <f t="shared" si="6"/>
        <v>895.34</v>
      </c>
      <c r="I126" s="4">
        <f t="shared" si="7"/>
        <v>990.6</v>
      </c>
      <c r="J126" s="4">
        <f t="shared" si="7"/>
        <v>889</v>
      </c>
      <c r="K126" s="3">
        <v>9.5299999999999994</v>
      </c>
      <c r="L126" s="3">
        <v>9.5299999999999994</v>
      </c>
      <c r="M126" s="3">
        <v>12.7</v>
      </c>
      <c r="N126" s="3">
        <v>12.7</v>
      </c>
      <c r="O126" s="5">
        <v>736.6</v>
      </c>
      <c r="P126" s="5">
        <v>749.3</v>
      </c>
      <c r="Q126" s="5">
        <f t="shared" si="8"/>
        <v>1498.6</v>
      </c>
      <c r="R126" s="4" t="s">
        <v>130</v>
      </c>
      <c r="S126" s="4" t="s">
        <v>130</v>
      </c>
    </row>
    <row r="127" spans="1:19" x14ac:dyDescent="0.35">
      <c r="A127" s="1"/>
      <c r="B127" s="2"/>
      <c r="C127" s="2"/>
      <c r="D127" s="25" t="s">
        <v>148</v>
      </c>
      <c r="E127" s="4">
        <v>1016</v>
      </c>
      <c r="F127" s="4">
        <v>965.2</v>
      </c>
      <c r="G127" s="4">
        <f t="shared" si="6"/>
        <v>996.94</v>
      </c>
      <c r="H127" s="4">
        <f t="shared" si="6"/>
        <v>946.1400000000001</v>
      </c>
      <c r="I127" s="4">
        <f t="shared" si="7"/>
        <v>990.6</v>
      </c>
      <c r="J127" s="4">
        <f t="shared" si="7"/>
        <v>939.80000000000007</v>
      </c>
      <c r="K127" s="3">
        <v>9.5299999999999994</v>
      </c>
      <c r="L127" s="3">
        <v>9.5299999999999994</v>
      </c>
      <c r="M127" s="3">
        <v>12.7</v>
      </c>
      <c r="N127" s="3">
        <v>12.7</v>
      </c>
      <c r="O127" s="5">
        <v>749.3</v>
      </c>
      <c r="P127" s="5">
        <v>749.3</v>
      </c>
      <c r="Q127" s="5">
        <f t="shared" si="8"/>
        <v>1498.6</v>
      </c>
      <c r="R127" s="4" t="s">
        <v>130</v>
      </c>
      <c r="S127" s="4" t="s">
        <v>130</v>
      </c>
    </row>
    <row r="128" spans="1:19" x14ac:dyDescent="0.35">
      <c r="A128" s="1"/>
      <c r="B128" s="2"/>
      <c r="C128" s="2"/>
      <c r="D128" s="25" t="s">
        <v>149</v>
      </c>
      <c r="E128" s="4">
        <v>1066.8</v>
      </c>
      <c r="F128" s="3">
        <v>406.4</v>
      </c>
      <c r="G128" s="4">
        <f t="shared" si="6"/>
        <v>1047.74</v>
      </c>
      <c r="H128" s="4">
        <f t="shared" si="6"/>
        <v>387.34</v>
      </c>
      <c r="I128" s="4">
        <f t="shared" si="7"/>
        <v>1041.3999999999999</v>
      </c>
      <c r="J128" s="4">
        <f t="shared" si="7"/>
        <v>381</v>
      </c>
      <c r="K128" s="3">
        <v>9.5299999999999994</v>
      </c>
      <c r="L128" s="3">
        <v>9.5299999999999994</v>
      </c>
      <c r="M128" s="3">
        <v>12.7</v>
      </c>
      <c r="N128" s="3">
        <v>12.7</v>
      </c>
      <c r="O128" s="5">
        <v>635</v>
      </c>
      <c r="P128" s="5">
        <v>762</v>
      </c>
      <c r="Q128" s="5">
        <f t="shared" si="8"/>
        <v>1524</v>
      </c>
      <c r="R128" s="4" t="s">
        <v>130</v>
      </c>
      <c r="S128" s="4" t="s">
        <v>130</v>
      </c>
    </row>
    <row r="129" spans="1:19" x14ac:dyDescent="0.35">
      <c r="A129" s="1"/>
      <c r="B129" s="2"/>
      <c r="C129" s="2"/>
      <c r="D129" s="25" t="s">
        <v>150</v>
      </c>
      <c r="E129" s="4">
        <v>1066.8</v>
      </c>
      <c r="F129" s="3">
        <v>457.2</v>
      </c>
      <c r="G129" s="4">
        <f t="shared" si="6"/>
        <v>1047.74</v>
      </c>
      <c r="H129" s="4">
        <f t="shared" si="6"/>
        <v>438.14</v>
      </c>
      <c r="I129" s="4">
        <f t="shared" si="7"/>
        <v>1041.3999999999999</v>
      </c>
      <c r="J129" s="4">
        <f t="shared" si="7"/>
        <v>431.8</v>
      </c>
      <c r="K129" s="3">
        <v>9.5299999999999994</v>
      </c>
      <c r="L129" s="3">
        <v>9.5299999999999994</v>
      </c>
      <c r="M129" s="3">
        <v>12.7</v>
      </c>
      <c r="N129" s="3">
        <v>12.7</v>
      </c>
      <c r="O129" s="5">
        <v>647.70000000000005</v>
      </c>
      <c r="P129" s="5">
        <v>762</v>
      </c>
      <c r="Q129" s="5">
        <f t="shared" si="8"/>
        <v>1524</v>
      </c>
      <c r="R129" s="4" t="s">
        <v>130</v>
      </c>
      <c r="S129" s="4" t="s">
        <v>130</v>
      </c>
    </row>
    <row r="130" spans="1:19" x14ac:dyDescent="0.35">
      <c r="A130" s="1"/>
      <c r="B130" s="2"/>
      <c r="C130" s="2"/>
      <c r="D130" s="25" t="s">
        <v>151</v>
      </c>
      <c r="E130" s="4">
        <v>1066.8</v>
      </c>
      <c r="F130" s="3">
        <v>508</v>
      </c>
      <c r="G130" s="4">
        <f t="shared" si="6"/>
        <v>1047.74</v>
      </c>
      <c r="H130" s="4">
        <f t="shared" si="6"/>
        <v>488.94</v>
      </c>
      <c r="I130" s="4">
        <f t="shared" si="7"/>
        <v>1041.3999999999999</v>
      </c>
      <c r="J130" s="4">
        <f t="shared" si="7"/>
        <v>482.6</v>
      </c>
      <c r="K130" s="3">
        <v>9.5299999999999994</v>
      </c>
      <c r="L130" s="3">
        <v>9.5299999999999994</v>
      </c>
      <c r="M130" s="3">
        <v>12.7</v>
      </c>
      <c r="N130" s="3">
        <v>12.7</v>
      </c>
      <c r="O130" s="5">
        <v>660.4</v>
      </c>
      <c r="P130" s="5">
        <v>762</v>
      </c>
      <c r="Q130" s="5">
        <f t="shared" si="8"/>
        <v>1524</v>
      </c>
      <c r="R130" s="4" t="s">
        <v>130</v>
      </c>
      <c r="S130" s="4" t="s">
        <v>130</v>
      </c>
    </row>
    <row r="131" spans="1:19" x14ac:dyDescent="0.35">
      <c r="A131" s="1"/>
      <c r="B131" s="2"/>
      <c r="C131" s="2"/>
      <c r="D131" s="25" t="s">
        <v>152</v>
      </c>
      <c r="E131" s="4">
        <v>1066.8</v>
      </c>
      <c r="F131" s="3">
        <v>558.79999999999995</v>
      </c>
      <c r="G131" s="4">
        <f t="shared" si="6"/>
        <v>1047.74</v>
      </c>
      <c r="H131" s="4">
        <f t="shared" si="6"/>
        <v>539.74</v>
      </c>
      <c r="I131" s="4">
        <f t="shared" si="7"/>
        <v>1041.3999999999999</v>
      </c>
      <c r="J131" s="4">
        <f t="shared" si="7"/>
        <v>533.4</v>
      </c>
      <c r="K131" s="3">
        <v>9.5299999999999994</v>
      </c>
      <c r="L131" s="3">
        <v>9.5299999999999994</v>
      </c>
      <c r="M131" s="3">
        <v>12.7</v>
      </c>
      <c r="N131" s="3">
        <v>12.7</v>
      </c>
      <c r="O131" s="5">
        <v>660.4</v>
      </c>
      <c r="P131" s="5">
        <v>762</v>
      </c>
      <c r="Q131" s="5">
        <f t="shared" si="8"/>
        <v>1524</v>
      </c>
      <c r="R131" s="4" t="s">
        <v>130</v>
      </c>
      <c r="S131" s="4" t="s">
        <v>130</v>
      </c>
    </row>
    <row r="132" spans="1:19" x14ac:dyDescent="0.35">
      <c r="A132" s="1"/>
      <c r="B132" s="2"/>
      <c r="C132" s="2"/>
      <c r="D132" s="25" t="s">
        <v>153</v>
      </c>
      <c r="E132" s="4">
        <v>1066.8</v>
      </c>
      <c r="F132" s="3">
        <v>609.6</v>
      </c>
      <c r="G132" s="4">
        <f t="shared" si="6"/>
        <v>1047.74</v>
      </c>
      <c r="H132" s="4">
        <f t="shared" si="6"/>
        <v>590.54000000000008</v>
      </c>
      <c r="I132" s="4">
        <f t="shared" si="7"/>
        <v>1041.3999999999999</v>
      </c>
      <c r="J132" s="4">
        <f t="shared" si="7"/>
        <v>584.20000000000005</v>
      </c>
      <c r="K132" s="3">
        <v>9.5299999999999994</v>
      </c>
      <c r="L132" s="3">
        <v>9.5299999999999994</v>
      </c>
      <c r="M132" s="3">
        <v>12.7</v>
      </c>
      <c r="N132" s="3">
        <v>12.7</v>
      </c>
      <c r="O132" s="5">
        <v>660.4</v>
      </c>
      <c r="P132" s="5">
        <v>762</v>
      </c>
      <c r="Q132" s="5">
        <f t="shared" si="8"/>
        <v>1524</v>
      </c>
      <c r="R132" s="4" t="s">
        <v>130</v>
      </c>
      <c r="S132" s="4" t="s">
        <v>130</v>
      </c>
    </row>
    <row r="133" spans="1:19" x14ac:dyDescent="0.35">
      <c r="A133" s="1"/>
      <c r="B133" s="2"/>
      <c r="C133" s="2"/>
      <c r="D133" s="25" t="s">
        <v>154</v>
      </c>
      <c r="E133" s="4">
        <v>1066.8</v>
      </c>
      <c r="F133" s="4">
        <v>660.4</v>
      </c>
      <c r="G133" s="4">
        <f t="shared" si="6"/>
        <v>1047.74</v>
      </c>
      <c r="H133" s="4">
        <f t="shared" si="6"/>
        <v>641.34</v>
      </c>
      <c r="I133" s="4">
        <f t="shared" si="7"/>
        <v>1041.3999999999999</v>
      </c>
      <c r="J133" s="4">
        <f t="shared" si="7"/>
        <v>635</v>
      </c>
      <c r="K133" s="3">
        <v>9.5299999999999994</v>
      </c>
      <c r="L133" s="3">
        <v>9.5299999999999994</v>
      </c>
      <c r="M133" s="3">
        <v>12.7</v>
      </c>
      <c r="N133" s="3">
        <v>12.7</v>
      </c>
      <c r="O133" s="5">
        <v>698.5</v>
      </c>
      <c r="P133" s="5">
        <v>762</v>
      </c>
      <c r="Q133" s="5">
        <f t="shared" si="8"/>
        <v>1524</v>
      </c>
      <c r="R133" s="4" t="s">
        <v>130</v>
      </c>
      <c r="S133" s="4" t="s">
        <v>130</v>
      </c>
    </row>
    <row r="134" spans="1:19" x14ac:dyDescent="0.35">
      <c r="A134" s="1"/>
      <c r="B134" s="2"/>
      <c r="C134" s="2"/>
      <c r="D134" s="25" t="s">
        <v>155</v>
      </c>
      <c r="E134" s="4">
        <v>1066.8</v>
      </c>
      <c r="F134" s="4">
        <v>711.2</v>
      </c>
      <c r="G134" s="4">
        <f t="shared" si="6"/>
        <v>1047.74</v>
      </c>
      <c r="H134" s="4">
        <f t="shared" si="6"/>
        <v>692.1400000000001</v>
      </c>
      <c r="I134" s="4">
        <f t="shared" si="7"/>
        <v>1041.3999999999999</v>
      </c>
      <c r="J134" s="4">
        <f t="shared" si="7"/>
        <v>685.80000000000007</v>
      </c>
      <c r="K134" s="3">
        <v>9.5299999999999994</v>
      </c>
      <c r="L134" s="3">
        <v>9.5299999999999994</v>
      </c>
      <c r="M134" s="3">
        <v>12.7</v>
      </c>
      <c r="N134" s="3">
        <v>12.7</v>
      </c>
      <c r="O134" s="5">
        <v>698.5</v>
      </c>
      <c r="P134" s="5">
        <v>762</v>
      </c>
      <c r="Q134" s="5">
        <f t="shared" si="8"/>
        <v>1524</v>
      </c>
      <c r="R134" s="4" t="s">
        <v>130</v>
      </c>
      <c r="S134" s="4" t="s">
        <v>130</v>
      </c>
    </row>
    <row r="135" spans="1:19" x14ac:dyDescent="0.35">
      <c r="A135" s="1"/>
      <c r="B135" s="2"/>
      <c r="C135" s="2"/>
      <c r="D135" s="25" t="s">
        <v>156</v>
      </c>
      <c r="E135" s="4">
        <v>1066.8</v>
      </c>
      <c r="F135" s="4">
        <v>762</v>
      </c>
      <c r="G135" s="4">
        <f t="shared" si="6"/>
        <v>1047.74</v>
      </c>
      <c r="H135" s="4">
        <f t="shared" si="6"/>
        <v>742.94</v>
      </c>
      <c r="I135" s="4">
        <f t="shared" si="7"/>
        <v>1041.3999999999999</v>
      </c>
      <c r="J135" s="4">
        <f t="shared" si="7"/>
        <v>736.6</v>
      </c>
      <c r="K135" s="3">
        <v>9.5299999999999994</v>
      </c>
      <c r="L135" s="3">
        <v>9.5299999999999994</v>
      </c>
      <c r="M135" s="3">
        <v>12.7</v>
      </c>
      <c r="N135" s="3">
        <v>12.7</v>
      </c>
      <c r="O135" s="5">
        <v>711.2</v>
      </c>
      <c r="P135" s="5">
        <v>762</v>
      </c>
      <c r="Q135" s="5">
        <f t="shared" si="8"/>
        <v>1524</v>
      </c>
      <c r="R135" s="4" t="s">
        <v>130</v>
      </c>
      <c r="S135" s="4" t="s">
        <v>130</v>
      </c>
    </row>
    <row r="136" spans="1:19" x14ac:dyDescent="0.35">
      <c r="A136" s="1"/>
      <c r="B136" s="2"/>
      <c r="C136" s="2"/>
      <c r="D136" s="25" t="s">
        <v>157</v>
      </c>
      <c r="E136" s="4">
        <v>1066.8</v>
      </c>
      <c r="F136" s="4">
        <v>812.8</v>
      </c>
      <c r="G136" s="4">
        <f t="shared" si="6"/>
        <v>1047.74</v>
      </c>
      <c r="H136" s="4">
        <f t="shared" si="6"/>
        <v>793.74</v>
      </c>
      <c r="I136" s="4">
        <f t="shared" si="7"/>
        <v>1041.3999999999999</v>
      </c>
      <c r="J136" s="4">
        <f t="shared" si="7"/>
        <v>787.4</v>
      </c>
      <c r="K136" s="3">
        <v>9.5299999999999994</v>
      </c>
      <c r="L136" s="3">
        <v>9.5299999999999994</v>
      </c>
      <c r="M136" s="3">
        <v>12.7</v>
      </c>
      <c r="N136" s="3">
        <v>12.7</v>
      </c>
      <c r="O136" s="5">
        <v>711.2</v>
      </c>
      <c r="P136" s="5">
        <v>762</v>
      </c>
      <c r="Q136" s="5">
        <f t="shared" si="8"/>
        <v>1524</v>
      </c>
      <c r="R136" s="4" t="s">
        <v>130</v>
      </c>
      <c r="S136" s="4" t="s">
        <v>130</v>
      </c>
    </row>
    <row r="137" spans="1:19" x14ac:dyDescent="0.35">
      <c r="A137" s="1"/>
      <c r="B137" s="2"/>
      <c r="C137" s="2"/>
      <c r="D137" s="25" t="s">
        <v>158</v>
      </c>
      <c r="E137" s="4">
        <v>1066.8</v>
      </c>
      <c r="F137" s="4">
        <v>863.6</v>
      </c>
      <c r="G137" s="4">
        <f t="shared" si="6"/>
        <v>1047.74</v>
      </c>
      <c r="H137" s="4">
        <f t="shared" si="6"/>
        <v>844.54000000000008</v>
      </c>
      <c r="I137" s="4">
        <f t="shared" si="7"/>
        <v>1041.3999999999999</v>
      </c>
      <c r="J137" s="4">
        <f t="shared" si="7"/>
        <v>838.2</v>
      </c>
      <c r="K137" s="3">
        <v>9.5299999999999994</v>
      </c>
      <c r="L137" s="3">
        <v>9.5299999999999994</v>
      </c>
      <c r="M137" s="3">
        <v>12.7</v>
      </c>
      <c r="N137" s="3">
        <v>12.7</v>
      </c>
      <c r="O137" s="5">
        <v>711.2</v>
      </c>
      <c r="P137" s="5">
        <v>762</v>
      </c>
      <c r="Q137" s="5">
        <f t="shared" si="8"/>
        <v>1524</v>
      </c>
      <c r="R137" s="4" t="s">
        <v>130</v>
      </c>
      <c r="S137" s="4" t="s">
        <v>130</v>
      </c>
    </row>
    <row r="138" spans="1:19" x14ac:dyDescent="0.35">
      <c r="A138" s="1"/>
      <c r="B138" s="2"/>
      <c r="C138" s="2"/>
      <c r="D138" s="25" t="s">
        <v>159</v>
      </c>
      <c r="E138" s="4">
        <v>1066.8</v>
      </c>
      <c r="F138" s="4">
        <v>914.4</v>
      </c>
      <c r="G138" s="4">
        <f t="shared" si="6"/>
        <v>1047.74</v>
      </c>
      <c r="H138" s="4">
        <f t="shared" si="6"/>
        <v>895.34</v>
      </c>
      <c r="I138" s="4">
        <f t="shared" si="7"/>
        <v>1041.3999999999999</v>
      </c>
      <c r="J138" s="4">
        <f t="shared" si="7"/>
        <v>889</v>
      </c>
      <c r="K138" s="3">
        <v>9.5299999999999994</v>
      </c>
      <c r="L138" s="3">
        <v>9.5299999999999994</v>
      </c>
      <c r="M138" s="3">
        <v>12.7</v>
      </c>
      <c r="N138" s="3">
        <v>12.7</v>
      </c>
      <c r="O138" s="5">
        <v>711.2</v>
      </c>
      <c r="P138" s="5">
        <v>762</v>
      </c>
      <c r="Q138" s="5">
        <f t="shared" si="8"/>
        <v>1524</v>
      </c>
      <c r="R138" s="4" t="s">
        <v>130</v>
      </c>
      <c r="S138" s="4" t="s">
        <v>130</v>
      </c>
    </row>
    <row r="139" spans="1:19" x14ac:dyDescent="0.35">
      <c r="A139" s="1"/>
      <c r="B139" s="2"/>
      <c r="C139" s="2"/>
      <c r="D139" s="25" t="s">
        <v>160</v>
      </c>
      <c r="E139" s="4">
        <v>1117.5999999999999</v>
      </c>
      <c r="F139" s="3">
        <v>609.6</v>
      </c>
      <c r="G139" s="4">
        <f t="shared" si="6"/>
        <v>1098.54</v>
      </c>
      <c r="H139" s="4">
        <f t="shared" si="6"/>
        <v>590.54000000000008</v>
      </c>
      <c r="I139" s="4">
        <f t="shared" si="7"/>
        <v>1092.1999999999998</v>
      </c>
      <c r="J139" s="4">
        <f t="shared" si="7"/>
        <v>584.20000000000005</v>
      </c>
      <c r="K139" s="3">
        <v>9.5299999999999994</v>
      </c>
      <c r="L139" s="3">
        <v>9.5299999999999994</v>
      </c>
      <c r="M139" s="3">
        <v>12.7</v>
      </c>
      <c r="N139" s="3">
        <v>12.7</v>
      </c>
      <c r="O139" s="5">
        <v>698.5</v>
      </c>
      <c r="P139" s="5">
        <v>812.8</v>
      </c>
      <c r="Q139" s="5">
        <f t="shared" si="8"/>
        <v>1625.6</v>
      </c>
      <c r="R139" s="4" t="s">
        <v>130</v>
      </c>
      <c r="S139" s="4" t="s">
        <v>130</v>
      </c>
    </row>
    <row r="140" spans="1:19" x14ac:dyDescent="0.35">
      <c r="A140" s="1"/>
      <c r="B140" s="2"/>
      <c r="C140" s="2"/>
      <c r="D140" s="25" t="s">
        <v>161</v>
      </c>
      <c r="E140" s="4">
        <v>1117.5999999999999</v>
      </c>
      <c r="F140" s="4">
        <v>660.4</v>
      </c>
      <c r="G140" s="4">
        <f t="shared" si="6"/>
        <v>1098.54</v>
      </c>
      <c r="H140" s="4">
        <f t="shared" si="6"/>
        <v>641.34</v>
      </c>
      <c r="I140" s="4">
        <f t="shared" si="7"/>
        <v>1092.1999999999998</v>
      </c>
      <c r="J140" s="4">
        <f t="shared" si="7"/>
        <v>635</v>
      </c>
      <c r="K140" s="3">
        <v>9.5299999999999994</v>
      </c>
      <c r="L140" s="3">
        <v>9.5299999999999994</v>
      </c>
      <c r="M140" s="3">
        <v>12.7</v>
      </c>
      <c r="N140" s="3">
        <v>12.7</v>
      </c>
      <c r="O140" s="5">
        <v>698.5</v>
      </c>
      <c r="P140" s="5">
        <v>812.8</v>
      </c>
      <c r="Q140" s="5">
        <f t="shared" si="8"/>
        <v>1625.6</v>
      </c>
      <c r="R140" s="4" t="s">
        <v>130</v>
      </c>
      <c r="S140" s="4" t="s">
        <v>130</v>
      </c>
    </row>
    <row r="141" spans="1:19" x14ac:dyDescent="0.35">
      <c r="A141" s="1"/>
      <c r="B141" s="2"/>
      <c r="C141" s="2"/>
      <c r="D141" s="25" t="s">
        <v>162</v>
      </c>
      <c r="E141" s="4">
        <v>1117.5999999999999</v>
      </c>
      <c r="F141" s="4">
        <v>711.2</v>
      </c>
      <c r="G141" s="4">
        <f t="shared" si="6"/>
        <v>1098.54</v>
      </c>
      <c r="H141" s="4">
        <f t="shared" si="6"/>
        <v>692.1400000000001</v>
      </c>
      <c r="I141" s="4">
        <f t="shared" si="7"/>
        <v>1092.1999999999998</v>
      </c>
      <c r="J141" s="4">
        <f t="shared" si="7"/>
        <v>685.80000000000007</v>
      </c>
      <c r="K141" s="3">
        <v>9.5299999999999994</v>
      </c>
      <c r="L141" s="3">
        <v>9.5299999999999994</v>
      </c>
      <c r="M141" s="3">
        <v>12.7</v>
      </c>
      <c r="N141" s="3">
        <v>12.7</v>
      </c>
      <c r="O141" s="5">
        <v>698.5</v>
      </c>
      <c r="P141" s="5">
        <v>812.8</v>
      </c>
      <c r="Q141" s="5">
        <f t="shared" si="8"/>
        <v>1625.6</v>
      </c>
      <c r="R141" s="4" t="s">
        <v>130</v>
      </c>
      <c r="S141" s="4" t="s">
        <v>130</v>
      </c>
    </row>
    <row r="142" spans="1:19" x14ac:dyDescent="0.35">
      <c r="A142" s="1"/>
      <c r="B142" s="2"/>
      <c r="C142" s="2"/>
      <c r="D142" s="25" t="s">
        <v>163</v>
      </c>
      <c r="E142" s="4">
        <v>1117.5999999999999</v>
      </c>
      <c r="F142" s="4">
        <v>762</v>
      </c>
      <c r="G142" s="4">
        <f t="shared" si="6"/>
        <v>1098.54</v>
      </c>
      <c r="H142" s="4">
        <f t="shared" si="6"/>
        <v>742.94</v>
      </c>
      <c r="I142" s="4">
        <f t="shared" si="7"/>
        <v>1092.1999999999998</v>
      </c>
      <c r="J142" s="4">
        <f t="shared" si="7"/>
        <v>736.6</v>
      </c>
      <c r="K142" s="3">
        <v>9.5299999999999994</v>
      </c>
      <c r="L142" s="3">
        <v>9.5299999999999994</v>
      </c>
      <c r="M142" s="3">
        <v>12.7</v>
      </c>
      <c r="N142" s="3">
        <v>12.7</v>
      </c>
      <c r="O142" s="5">
        <v>711.2</v>
      </c>
      <c r="P142" s="5">
        <v>812.8</v>
      </c>
      <c r="Q142" s="5">
        <f t="shared" si="8"/>
        <v>1625.6</v>
      </c>
      <c r="R142" s="4" t="s">
        <v>130</v>
      </c>
      <c r="S142" s="4" t="s">
        <v>130</v>
      </c>
    </row>
    <row r="143" spans="1:19" x14ac:dyDescent="0.35">
      <c r="A143" s="1"/>
      <c r="B143" s="2"/>
      <c r="C143" s="2"/>
      <c r="D143" s="25" t="s">
        <v>164</v>
      </c>
      <c r="E143" s="4">
        <v>1117.5999999999999</v>
      </c>
      <c r="F143" s="4">
        <v>812.8</v>
      </c>
      <c r="G143" s="4">
        <f t="shared" si="6"/>
        <v>1098.54</v>
      </c>
      <c r="H143" s="4">
        <f t="shared" si="6"/>
        <v>793.74</v>
      </c>
      <c r="I143" s="4">
        <f t="shared" si="7"/>
        <v>1092.1999999999998</v>
      </c>
      <c r="J143" s="4">
        <f t="shared" si="7"/>
        <v>787.4</v>
      </c>
      <c r="K143" s="3">
        <v>9.5299999999999994</v>
      </c>
      <c r="L143" s="3">
        <v>9.5299999999999994</v>
      </c>
      <c r="M143" s="3">
        <v>12.7</v>
      </c>
      <c r="N143" s="3">
        <v>12.7</v>
      </c>
      <c r="O143" s="5">
        <v>711.2</v>
      </c>
      <c r="P143" s="5">
        <v>812.8</v>
      </c>
      <c r="Q143" s="5">
        <f t="shared" si="8"/>
        <v>1625.6</v>
      </c>
      <c r="R143" s="4" t="s">
        <v>130</v>
      </c>
      <c r="S143" s="4" t="s">
        <v>130</v>
      </c>
    </row>
    <row r="144" spans="1:19" x14ac:dyDescent="0.35">
      <c r="A144" s="1"/>
      <c r="B144" s="2"/>
      <c r="C144" s="2"/>
      <c r="D144" s="25" t="s">
        <v>165</v>
      </c>
      <c r="E144" s="4">
        <v>1117.5999999999999</v>
      </c>
      <c r="F144" s="4">
        <v>863.6</v>
      </c>
      <c r="G144" s="4">
        <f t="shared" si="6"/>
        <v>1098.54</v>
      </c>
      <c r="H144" s="4">
        <f t="shared" si="6"/>
        <v>844.54000000000008</v>
      </c>
      <c r="I144" s="4">
        <f t="shared" si="7"/>
        <v>1092.1999999999998</v>
      </c>
      <c r="J144" s="4">
        <f t="shared" si="7"/>
        <v>838.2</v>
      </c>
      <c r="K144" s="3">
        <v>9.5299999999999994</v>
      </c>
      <c r="L144" s="3">
        <v>9.5299999999999994</v>
      </c>
      <c r="M144" s="3">
        <v>12.7</v>
      </c>
      <c r="N144" s="3">
        <v>12.7</v>
      </c>
      <c r="O144" s="5">
        <v>723.9</v>
      </c>
      <c r="P144" s="5">
        <v>812.8</v>
      </c>
      <c r="Q144" s="5">
        <f t="shared" si="8"/>
        <v>1625.6</v>
      </c>
      <c r="R144" s="4" t="s">
        <v>130</v>
      </c>
      <c r="S144" s="4" t="s">
        <v>130</v>
      </c>
    </row>
    <row r="145" spans="1:19" x14ac:dyDescent="0.35">
      <c r="A145" s="1"/>
      <c r="B145" s="2"/>
      <c r="C145" s="2"/>
      <c r="D145" s="25" t="s">
        <v>166</v>
      </c>
      <c r="E145" s="4">
        <v>1117.5999999999999</v>
      </c>
      <c r="F145" s="4">
        <v>914.4</v>
      </c>
      <c r="G145" s="4">
        <f t="shared" si="6"/>
        <v>1098.54</v>
      </c>
      <c r="H145" s="4">
        <f t="shared" si="6"/>
        <v>895.34</v>
      </c>
      <c r="I145" s="4">
        <f t="shared" si="7"/>
        <v>1092.1999999999998</v>
      </c>
      <c r="J145" s="4">
        <f t="shared" si="7"/>
        <v>889</v>
      </c>
      <c r="K145" s="3">
        <v>9.5299999999999994</v>
      </c>
      <c r="L145" s="3">
        <v>9.5299999999999994</v>
      </c>
      <c r="M145" s="3">
        <v>12.7</v>
      </c>
      <c r="N145" s="3">
        <v>12.7</v>
      </c>
      <c r="O145" s="5">
        <v>723.9</v>
      </c>
      <c r="P145" s="5">
        <v>812.8</v>
      </c>
      <c r="Q145" s="5">
        <f t="shared" si="8"/>
        <v>1625.6</v>
      </c>
      <c r="R145" s="4" t="s">
        <v>130</v>
      </c>
      <c r="S145" s="4" t="s">
        <v>130</v>
      </c>
    </row>
    <row r="146" spans="1:19" x14ac:dyDescent="0.35">
      <c r="A146" s="1"/>
      <c r="B146" s="2"/>
      <c r="C146" s="2"/>
      <c r="D146" s="25" t="s">
        <v>167</v>
      </c>
      <c r="E146" s="4">
        <v>1117.5999999999999</v>
      </c>
      <c r="F146" s="4">
        <v>965.2</v>
      </c>
      <c r="G146" s="4">
        <f t="shared" si="6"/>
        <v>1098.54</v>
      </c>
      <c r="H146" s="4">
        <f t="shared" si="6"/>
        <v>946.1400000000001</v>
      </c>
      <c r="I146" s="4">
        <f t="shared" si="7"/>
        <v>1092.1999999999998</v>
      </c>
      <c r="J146" s="4">
        <f t="shared" si="7"/>
        <v>939.80000000000007</v>
      </c>
      <c r="K146" s="3">
        <v>9.5299999999999994</v>
      </c>
      <c r="L146" s="3">
        <v>9.5299999999999994</v>
      </c>
      <c r="M146" s="3">
        <v>12.7</v>
      </c>
      <c r="N146" s="3">
        <v>12.7</v>
      </c>
      <c r="O146" s="5">
        <v>736.6</v>
      </c>
      <c r="P146" s="5">
        <v>812.8</v>
      </c>
      <c r="Q146" s="5">
        <f t="shared" si="8"/>
        <v>1625.6</v>
      </c>
      <c r="R146" s="4" t="s">
        <v>130</v>
      </c>
      <c r="S146" s="4" t="s">
        <v>130</v>
      </c>
    </row>
    <row r="147" spans="1:19" x14ac:dyDescent="0.35">
      <c r="A147" s="1"/>
      <c r="B147" s="2"/>
      <c r="C147" s="2"/>
      <c r="D147" s="25" t="s">
        <v>168</v>
      </c>
      <c r="E147" s="4">
        <v>1117.5999999999999</v>
      </c>
      <c r="F147" s="4">
        <v>1016</v>
      </c>
      <c r="G147" s="4">
        <f t="shared" si="6"/>
        <v>1098.54</v>
      </c>
      <c r="H147" s="4">
        <f t="shared" si="6"/>
        <v>996.94</v>
      </c>
      <c r="I147" s="4">
        <f t="shared" si="7"/>
        <v>1092.1999999999998</v>
      </c>
      <c r="J147" s="4">
        <f t="shared" si="7"/>
        <v>990.6</v>
      </c>
      <c r="K147" s="3">
        <v>9.5299999999999994</v>
      </c>
      <c r="L147" s="3">
        <v>9.5299999999999994</v>
      </c>
      <c r="M147" s="3">
        <v>12.7</v>
      </c>
      <c r="N147" s="3">
        <v>12.7</v>
      </c>
      <c r="O147" s="5">
        <v>749.3</v>
      </c>
      <c r="P147" s="5">
        <v>812.8</v>
      </c>
      <c r="Q147" s="5">
        <f t="shared" si="8"/>
        <v>1625.6</v>
      </c>
      <c r="R147" s="4" t="s">
        <v>130</v>
      </c>
      <c r="S147" s="4" t="s">
        <v>130</v>
      </c>
    </row>
    <row r="148" spans="1:19" x14ac:dyDescent="0.35">
      <c r="A148" s="1"/>
      <c r="B148" s="2"/>
      <c r="C148" s="2"/>
      <c r="D148" s="25" t="s">
        <v>169</v>
      </c>
      <c r="E148" s="4">
        <v>1117.5999999999999</v>
      </c>
      <c r="F148" s="4">
        <v>1066.8</v>
      </c>
      <c r="G148" s="4">
        <f t="shared" si="6"/>
        <v>1098.54</v>
      </c>
      <c r="H148" s="4">
        <f t="shared" si="6"/>
        <v>1047.74</v>
      </c>
      <c r="I148" s="4">
        <f t="shared" si="7"/>
        <v>1092.1999999999998</v>
      </c>
      <c r="J148" s="4">
        <f t="shared" si="7"/>
        <v>1041.3999999999999</v>
      </c>
      <c r="K148" s="3">
        <v>9.5299999999999994</v>
      </c>
      <c r="L148" s="3">
        <v>9.5299999999999994</v>
      </c>
      <c r="M148" s="3">
        <v>12.7</v>
      </c>
      <c r="N148" s="3">
        <v>12.7</v>
      </c>
      <c r="O148" s="5">
        <v>762</v>
      </c>
      <c r="P148" s="5">
        <v>812.8</v>
      </c>
      <c r="Q148" s="5">
        <f t="shared" si="8"/>
        <v>1625.6</v>
      </c>
      <c r="R148" s="4" t="s">
        <v>130</v>
      </c>
      <c r="S148" s="4" t="s">
        <v>130</v>
      </c>
    </row>
    <row r="149" spans="1:19" x14ac:dyDescent="0.35">
      <c r="A149" s="1"/>
      <c r="B149" s="2"/>
      <c r="C149" s="2"/>
      <c r="D149" s="25" t="s">
        <v>170</v>
      </c>
      <c r="E149" s="4">
        <v>1168.4000000000001</v>
      </c>
      <c r="F149" s="3">
        <v>609.6</v>
      </c>
      <c r="G149" s="4">
        <f t="shared" si="6"/>
        <v>1149.3400000000001</v>
      </c>
      <c r="H149" s="4">
        <f t="shared" si="6"/>
        <v>590.54000000000008</v>
      </c>
      <c r="I149" s="4">
        <f t="shared" si="7"/>
        <v>1143</v>
      </c>
      <c r="J149" s="4">
        <f t="shared" si="7"/>
        <v>584.20000000000005</v>
      </c>
      <c r="K149" s="3">
        <v>9.5299999999999994</v>
      </c>
      <c r="L149" s="3">
        <v>9.5299999999999994</v>
      </c>
      <c r="M149" s="3">
        <v>12.7</v>
      </c>
      <c r="N149" s="3">
        <v>12.7</v>
      </c>
      <c r="O149" s="5">
        <v>723.9</v>
      </c>
      <c r="P149" s="5">
        <v>850.9</v>
      </c>
      <c r="Q149" s="5">
        <f t="shared" si="8"/>
        <v>1701.8</v>
      </c>
      <c r="R149" s="4" t="s">
        <v>130</v>
      </c>
      <c r="S149" s="4" t="s">
        <v>130</v>
      </c>
    </row>
    <row r="150" spans="1:19" x14ac:dyDescent="0.35">
      <c r="A150" s="1"/>
      <c r="B150" s="2"/>
      <c r="C150" s="2"/>
      <c r="D150" s="25" t="s">
        <v>171</v>
      </c>
      <c r="E150" s="4">
        <v>1168.4000000000001</v>
      </c>
      <c r="F150" s="4">
        <v>660.4</v>
      </c>
      <c r="G150" s="4">
        <f t="shared" si="6"/>
        <v>1149.3400000000001</v>
      </c>
      <c r="H150" s="4">
        <f t="shared" si="6"/>
        <v>641.34</v>
      </c>
      <c r="I150" s="4">
        <f t="shared" si="7"/>
        <v>1143</v>
      </c>
      <c r="J150" s="4">
        <f t="shared" si="7"/>
        <v>635</v>
      </c>
      <c r="K150" s="3">
        <v>9.5299999999999994</v>
      </c>
      <c r="L150" s="3">
        <v>9.5299999999999994</v>
      </c>
      <c r="M150" s="3">
        <v>12.7</v>
      </c>
      <c r="N150" s="3">
        <v>12.7</v>
      </c>
      <c r="O150" s="5">
        <v>736.6</v>
      </c>
      <c r="P150" s="5">
        <v>850.9</v>
      </c>
      <c r="Q150" s="5">
        <f t="shared" si="8"/>
        <v>1701.8</v>
      </c>
      <c r="R150" s="4" t="s">
        <v>130</v>
      </c>
      <c r="S150" s="4" t="s">
        <v>130</v>
      </c>
    </row>
    <row r="151" spans="1:19" x14ac:dyDescent="0.35">
      <c r="A151" s="1"/>
      <c r="B151" s="2"/>
      <c r="C151" s="2"/>
      <c r="D151" s="25" t="s">
        <v>172</v>
      </c>
      <c r="E151" s="4">
        <v>1168.4000000000001</v>
      </c>
      <c r="F151" s="4">
        <v>711.2</v>
      </c>
      <c r="G151" s="4">
        <f t="shared" si="6"/>
        <v>1149.3400000000001</v>
      </c>
      <c r="H151" s="4">
        <f t="shared" si="6"/>
        <v>692.1400000000001</v>
      </c>
      <c r="I151" s="4">
        <f t="shared" si="7"/>
        <v>1143</v>
      </c>
      <c r="J151" s="4">
        <f t="shared" si="7"/>
        <v>685.80000000000007</v>
      </c>
      <c r="K151" s="3">
        <v>9.5299999999999994</v>
      </c>
      <c r="L151" s="3">
        <v>9.5299999999999994</v>
      </c>
      <c r="M151" s="3">
        <v>12.7</v>
      </c>
      <c r="N151" s="3">
        <v>12.7</v>
      </c>
      <c r="O151" s="5">
        <v>736.6</v>
      </c>
      <c r="P151" s="5">
        <v>850.9</v>
      </c>
      <c r="Q151" s="5">
        <f t="shared" si="8"/>
        <v>1701.8</v>
      </c>
      <c r="R151" s="4" t="s">
        <v>130</v>
      </c>
      <c r="S151" s="4" t="s">
        <v>130</v>
      </c>
    </row>
    <row r="152" spans="1:19" x14ac:dyDescent="0.35">
      <c r="A152" s="1"/>
      <c r="B152" s="2"/>
      <c r="C152" s="2"/>
      <c r="D152" s="25" t="s">
        <v>173</v>
      </c>
      <c r="E152" s="4">
        <v>1168.4000000000001</v>
      </c>
      <c r="F152" s="4">
        <v>762</v>
      </c>
      <c r="G152" s="4">
        <f t="shared" si="6"/>
        <v>1149.3400000000001</v>
      </c>
      <c r="H152" s="4">
        <f t="shared" si="6"/>
        <v>742.94</v>
      </c>
      <c r="I152" s="4">
        <f t="shared" si="7"/>
        <v>1143</v>
      </c>
      <c r="J152" s="4">
        <f t="shared" si="7"/>
        <v>736.6</v>
      </c>
      <c r="K152" s="3">
        <v>9.5299999999999994</v>
      </c>
      <c r="L152" s="3">
        <v>9.5299999999999994</v>
      </c>
      <c r="M152" s="3">
        <v>12.7</v>
      </c>
      <c r="N152" s="3">
        <v>12.7</v>
      </c>
      <c r="O152" s="5">
        <v>736.6</v>
      </c>
      <c r="P152" s="5">
        <v>850.9</v>
      </c>
      <c r="Q152" s="5">
        <f t="shared" si="8"/>
        <v>1701.8</v>
      </c>
      <c r="R152" s="4" t="s">
        <v>130</v>
      </c>
      <c r="S152" s="4" t="s">
        <v>130</v>
      </c>
    </row>
    <row r="153" spans="1:19" x14ac:dyDescent="0.35">
      <c r="A153" s="1"/>
      <c r="B153" s="2"/>
      <c r="C153" s="2"/>
      <c r="D153" s="25" t="s">
        <v>174</v>
      </c>
      <c r="E153" s="4">
        <v>1168.4000000000001</v>
      </c>
      <c r="F153" s="4">
        <v>812.8</v>
      </c>
      <c r="G153" s="4">
        <f t="shared" si="6"/>
        <v>1149.3400000000001</v>
      </c>
      <c r="H153" s="4">
        <f t="shared" si="6"/>
        <v>793.74</v>
      </c>
      <c r="I153" s="4">
        <f t="shared" si="7"/>
        <v>1143</v>
      </c>
      <c r="J153" s="4">
        <f t="shared" si="7"/>
        <v>787.4</v>
      </c>
      <c r="K153" s="3">
        <v>9.5299999999999994</v>
      </c>
      <c r="L153" s="3">
        <v>9.5299999999999994</v>
      </c>
      <c r="M153" s="3">
        <v>12.7</v>
      </c>
      <c r="N153" s="3">
        <v>12.7</v>
      </c>
      <c r="O153" s="5">
        <v>749.3</v>
      </c>
      <c r="P153" s="5">
        <v>850.9</v>
      </c>
      <c r="Q153" s="5">
        <f t="shared" si="8"/>
        <v>1701.8</v>
      </c>
      <c r="R153" s="4" t="s">
        <v>130</v>
      </c>
      <c r="S153" s="4" t="s">
        <v>130</v>
      </c>
    </row>
    <row r="154" spans="1:19" x14ac:dyDescent="0.35">
      <c r="A154" s="1"/>
      <c r="B154" s="2"/>
      <c r="C154" s="2"/>
      <c r="D154" s="25" t="s">
        <v>175</v>
      </c>
      <c r="E154" s="4">
        <v>1168.4000000000001</v>
      </c>
      <c r="F154" s="4">
        <v>863.6</v>
      </c>
      <c r="G154" s="4">
        <f t="shared" si="6"/>
        <v>1149.3400000000001</v>
      </c>
      <c r="H154" s="4">
        <f t="shared" si="6"/>
        <v>844.54000000000008</v>
      </c>
      <c r="I154" s="4">
        <f t="shared" si="7"/>
        <v>1143</v>
      </c>
      <c r="J154" s="4">
        <f t="shared" si="7"/>
        <v>838.2</v>
      </c>
      <c r="K154" s="3">
        <v>9.5299999999999994</v>
      </c>
      <c r="L154" s="3">
        <v>9.5299999999999994</v>
      </c>
      <c r="M154" s="3">
        <v>12.7</v>
      </c>
      <c r="N154" s="3">
        <v>12.7</v>
      </c>
      <c r="O154" s="5">
        <v>749.3</v>
      </c>
      <c r="P154" s="5">
        <v>850.9</v>
      </c>
      <c r="Q154" s="5">
        <f t="shared" si="8"/>
        <v>1701.8</v>
      </c>
      <c r="R154" s="4" t="s">
        <v>130</v>
      </c>
      <c r="S154" s="4" t="s">
        <v>130</v>
      </c>
    </row>
    <row r="155" spans="1:19" x14ac:dyDescent="0.35">
      <c r="A155" s="1"/>
      <c r="B155" s="2"/>
      <c r="C155" s="2"/>
      <c r="D155" s="25" t="s">
        <v>176</v>
      </c>
      <c r="E155" s="4">
        <v>1168.4000000000001</v>
      </c>
      <c r="F155" s="4">
        <v>914.4</v>
      </c>
      <c r="G155" s="4">
        <f t="shared" si="6"/>
        <v>1149.3400000000001</v>
      </c>
      <c r="H155" s="4">
        <f t="shared" si="6"/>
        <v>895.34</v>
      </c>
      <c r="I155" s="4">
        <f t="shared" si="7"/>
        <v>1143</v>
      </c>
      <c r="J155" s="4">
        <f t="shared" si="7"/>
        <v>889</v>
      </c>
      <c r="K155" s="3">
        <v>9.5299999999999994</v>
      </c>
      <c r="L155" s="3">
        <v>9.5299999999999994</v>
      </c>
      <c r="M155" s="3">
        <v>12.7</v>
      </c>
      <c r="N155" s="3">
        <v>12.7</v>
      </c>
      <c r="O155" s="5">
        <v>762</v>
      </c>
      <c r="P155" s="5">
        <v>850.9</v>
      </c>
      <c r="Q155" s="5">
        <f t="shared" si="8"/>
        <v>1701.8</v>
      </c>
      <c r="R155" s="4" t="s">
        <v>130</v>
      </c>
      <c r="S155" s="4" t="s">
        <v>130</v>
      </c>
    </row>
    <row r="156" spans="1:19" x14ac:dyDescent="0.35">
      <c r="A156" s="1"/>
      <c r="B156" s="2"/>
      <c r="C156" s="2"/>
      <c r="D156" s="25" t="s">
        <v>177</v>
      </c>
      <c r="E156" s="4">
        <v>1168.4000000000001</v>
      </c>
      <c r="F156" s="4">
        <v>965.2</v>
      </c>
      <c r="G156" s="4">
        <f t="shared" si="6"/>
        <v>1149.3400000000001</v>
      </c>
      <c r="H156" s="4">
        <f t="shared" si="6"/>
        <v>946.1400000000001</v>
      </c>
      <c r="I156" s="4">
        <f t="shared" si="7"/>
        <v>1143</v>
      </c>
      <c r="J156" s="4">
        <f t="shared" si="7"/>
        <v>939.80000000000007</v>
      </c>
      <c r="K156" s="3">
        <v>9.5299999999999994</v>
      </c>
      <c r="L156" s="3">
        <v>9.5299999999999994</v>
      </c>
      <c r="M156" s="3">
        <v>12.7</v>
      </c>
      <c r="N156" s="3">
        <v>12.7</v>
      </c>
      <c r="O156" s="5">
        <v>762</v>
      </c>
      <c r="P156" s="5">
        <v>850.9</v>
      </c>
      <c r="Q156" s="5">
        <f t="shared" si="8"/>
        <v>1701.8</v>
      </c>
      <c r="R156" s="4" t="s">
        <v>130</v>
      </c>
      <c r="S156" s="4" t="s">
        <v>130</v>
      </c>
    </row>
    <row r="157" spans="1:19" x14ac:dyDescent="0.35">
      <c r="A157" s="1"/>
      <c r="B157" s="2"/>
      <c r="C157" s="2"/>
      <c r="D157" s="25" t="s">
        <v>178</v>
      </c>
      <c r="E157" s="4">
        <v>1168.4000000000001</v>
      </c>
      <c r="F157" s="4">
        <v>1016</v>
      </c>
      <c r="G157" s="4">
        <f t="shared" si="6"/>
        <v>1149.3400000000001</v>
      </c>
      <c r="H157" s="4">
        <f t="shared" si="6"/>
        <v>996.94</v>
      </c>
      <c r="I157" s="4">
        <f t="shared" si="7"/>
        <v>1143</v>
      </c>
      <c r="J157" s="4">
        <f t="shared" si="7"/>
        <v>990.6</v>
      </c>
      <c r="K157" s="3">
        <v>9.5299999999999994</v>
      </c>
      <c r="L157" s="3">
        <v>9.5299999999999994</v>
      </c>
      <c r="M157" s="3">
        <v>12.7</v>
      </c>
      <c r="N157" s="3">
        <v>12.7</v>
      </c>
      <c r="O157" s="5">
        <v>714.7</v>
      </c>
      <c r="P157" s="5">
        <v>850.9</v>
      </c>
      <c r="Q157" s="5">
        <f t="shared" si="8"/>
        <v>1701.8</v>
      </c>
      <c r="R157" s="4" t="s">
        <v>130</v>
      </c>
      <c r="S157" s="4" t="s">
        <v>130</v>
      </c>
    </row>
    <row r="158" spans="1:19" x14ac:dyDescent="0.35">
      <c r="A158" s="1"/>
      <c r="B158" s="2"/>
      <c r="C158" s="2"/>
      <c r="D158" s="25" t="s">
        <v>179</v>
      </c>
      <c r="E158" s="4">
        <v>1168.4000000000001</v>
      </c>
      <c r="F158" s="4">
        <v>1066.8</v>
      </c>
      <c r="G158" s="4">
        <f t="shared" si="6"/>
        <v>1149.3400000000001</v>
      </c>
      <c r="H158" s="4">
        <f t="shared" si="6"/>
        <v>1047.74</v>
      </c>
      <c r="I158" s="4">
        <f t="shared" si="7"/>
        <v>1143</v>
      </c>
      <c r="J158" s="4">
        <f t="shared" si="7"/>
        <v>1041.3999999999999</v>
      </c>
      <c r="K158" s="3">
        <v>9.5299999999999994</v>
      </c>
      <c r="L158" s="3">
        <v>9.5299999999999994</v>
      </c>
      <c r="M158" s="3">
        <v>12.7</v>
      </c>
      <c r="N158" s="3">
        <v>12.7</v>
      </c>
      <c r="O158" s="5">
        <v>787.4</v>
      </c>
      <c r="P158" s="5">
        <v>850.9</v>
      </c>
      <c r="Q158" s="5">
        <f t="shared" si="8"/>
        <v>1701.8</v>
      </c>
      <c r="R158" s="4" t="s">
        <v>130</v>
      </c>
      <c r="S158" s="4" t="s">
        <v>130</v>
      </c>
    </row>
    <row r="159" spans="1:19" x14ac:dyDescent="0.35">
      <c r="A159" s="1"/>
      <c r="B159" s="2"/>
      <c r="C159" s="2"/>
      <c r="D159" s="25" t="s">
        <v>180</v>
      </c>
      <c r="E159" s="4">
        <v>1168.4000000000001</v>
      </c>
      <c r="F159" s="4">
        <v>1117.5999999999999</v>
      </c>
      <c r="G159" s="4">
        <f t="shared" si="6"/>
        <v>1149.3400000000001</v>
      </c>
      <c r="H159" s="4">
        <f t="shared" si="6"/>
        <v>1098.54</v>
      </c>
      <c r="I159" s="4">
        <f t="shared" si="7"/>
        <v>1143</v>
      </c>
      <c r="J159" s="4">
        <f t="shared" si="7"/>
        <v>1092.1999999999998</v>
      </c>
      <c r="K159" s="3">
        <v>9.5299999999999994</v>
      </c>
      <c r="L159" s="3">
        <v>9.5299999999999994</v>
      </c>
      <c r="M159" s="3">
        <v>12.7</v>
      </c>
      <c r="N159" s="3">
        <v>12.7</v>
      </c>
      <c r="O159" s="5">
        <v>800.1</v>
      </c>
      <c r="P159" s="5">
        <v>850.9</v>
      </c>
      <c r="Q159" s="5">
        <f t="shared" si="8"/>
        <v>1701.8</v>
      </c>
      <c r="R159" s="4" t="s">
        <v>130</v>
      </c>
      <c r="S159" s="4" t="s">
        <v>130</v>
      </c>
    </row>
    <row r="160" spans="1:19" x14ac:dyDescent="0.35">
      <c r="A160" s="1"/>
      <c r="B160" s="2"/>
      <c r="C160" s="2"/>
      <c r="D160" s="25" t="s">
        <v>181</v>
      </c>
      <c r="E160" s="4">
        <v>1219.2</v>
      </c>
      <c r="F160" s="3">
        <v>609.6</v>
      </c>
      <c r="G160" s="4">
        <f t="shared" si="6"/>
        <v>1200.1400000000001</v>
      </c>
      <c r="H160" s="4">
        <f t="shared" si="6"/>
        <v>590.54000000000008</v>
      </c>
      <c r="I160" s="4">
        <f t="shared" si="7"/>
        <v>1193.8</v>
      </c>
      <c r="J160" s="4">
        <f t="shared" si="7"/>
        <v>584.20000000000005</v>
      </c>
      <c r="K160" s="3">
        <v>9.5299999999999994</v>
      </c>
      <c r="L160" s="3">
        <v>9.5299999999999994</v>
      </c>
      <c r="M160" s="3">
        <v>12.7</v>
      </c>
      <c r="N160" s="3">
        <v>12.7</v>
      </c>
      <c r="O160" s="5">
        <v>736.6</v>
      </c>
      <c r="P160" s="5">
        <v>889</v>
      </c>
      <c r="Q160" s="5">
        <f t="shared" si="8"/>
        <v>1778</v>
      </c>
      <c r="R160" s="4" t="s">
        <v>130</v>
      </c>
      <c r="S160" s="4" t="s">
        <v>130</v>
      </c>
    </row>
    <row r="161" spans="1:19" x14ac:dyDescent="0.35">
      <c r="A161" s="1"/>
      <c r="B161" s="2"/>
      <c r="C161" s="2"/>
      <c r="D161" s="25" t="s">
        <v>182</v>
      </c>
      <c r="E161" s="4">
        <v>1219.2</v>
      </c>
      <c r="F161" s="4">
        <v>660.4</v>
      </c>
      <c r="G161" s="4">
        <f t="shared" si="6"/>
        <v>1200.1400000000001</v>
      </c>
      <c r="H161" s="4">
        <f t="shared" si="6"/>
        <v>641.34</v>
      </c>
      <c r="I161" s="4">
        <f t="shared" si="7"/>
        <v>1193.8</v>
      </c>
      <c r="J161" s="4">
        <f t="shared" si="7"/>
        <v>635</v>
      </c>
      <c r="K161" s="3">
        <v>9.5299999999999994</v>
      </c>
      <c r="L161" s="3">
        <v>9.5299999999999994</v>
      </c>
      <c r="M161" s="3">
        <v>12.7</v>
      </c>
      <c r="N161" s="3">
        <v>12.7</v>
      </c>
      <c r="O161" s="5">
        <v>762</v>
      </c>
      <c r="P161" s="5">
        <v>889</v>
      </c>
      <c r="Q161" s="5">
        <f t="shared" si="8"/>
        <v>1778</v>
      </c>
      <c r="R161" s="4" t="s">
        <v>130</v>
      </c>
      <c r="S161" s="4" t="s">
        <v>130</v>
      </c>
    </row>
    <row r="162" spans="1:19" x14ac:dyDescent="0.35">
      <c r="A162" s="1"/>
      <c r="B162" s="2"/>
      <c r="C162" s="2"/>
      <c r="D162" s="25" t="s">
        <v>183</v>
      </c>
      <c r="E162" s="4">
        <v>1219.2</v>
      </c>
      <c r="F162" s="4">
        <v>711.2</v>
      </c>
      <c r="G162" s="4">
        <f t="shared" si="6"/>
        <v>1200.1400000000001</v>
      </c>
      <c r="H162" s="4">
        <f t="shared" si="6"/>
        <v>692.1400000000001</v>
      </c>
      <c r="I162" s="4">
        <f t="shared" si="7"/>
        <v>1193.8</v>
      </c>
      <c r="J162" s="4">
        <f t="shared" si="7"/>
        <v>685.80000000000007</v>
      </c>
      <c r="K162" s="3">
        <v>9.5299999999999994</v>
      </c>
      <c r="L162" s="3">
        <v>9.5299999999999994</v>
      </c>
      <c r="M162" s="3">
        <v>12.7</v>
      </c>
      <c r="N162" s="3">
        <v>12.7</v>
      </c>
      <c r="O162" s="5">
        <v>762</v>
      </c>
      <c r="P162" s="5">
        <v>889</v>
      </c>
      <c r="Q162" s="5">
        <f t="shared" si="8"/>
        <v>1778</v>
      </c>
      <c r="R162" s="4" t="s">
        <v>130</v>
      </c>
      <c r="S162" s="4" t="s">
        <v>130</v>
      </c>
    </row>
    <row r="163" spans="1:19" x14ac:dyDescent="0.35">
      <c r="A163" s="1"/>
      <c r="B163" s="2"/>
      <c r="C163" s="2"/>
      <c r="D163" s="25" t="s">
        <v>184</v>
      </c>
      <c r="E163" s="4">
        <v>1219.2</v>
      </c>
      <c r="F163" s="4">
        <v>762</v>
      </c>
      <c r="G163" s="4">
        <f t="shared" ref="G163:H171" si="9">E163-2*K163</f>
        <v>1200.1400000000001</v>
      </c>
      <c r="H163" s="4">
        <f t="shared" si="9"/>
        <v>742.94</v>
      </c>
      <c r="I163" s="4">
        <f t="shared" ref="I163:J171" si="10">E163-2*M163</f>
        <v>1193.8</v>
      </c>
      <c r="J163" s="4">
        <f t="shared" si="10"/>
        <v>736.6</v>
      </c>
      <c r="K163" s="3">
        <v>9.5299999999999994</v>
      </c>
      <c r="L163" s="3">
        <v>9.5299999999999994</v>
      </c>
      <c r="M163" s="3">
        <v>12.7</v>
      </c>
      <c r="N163" s="3">
        <v>12.7</v>
      </c>
      <c r="O163" s="5">
        <v>762</v>
      </c>
      <c r="P163" s="5">
        <v>889</v>
      </c>
      <c r="Q163" s="5">
        <f t="shared" ref="Q163:Q171" si="11">2*P163</f>
        <v>1778</v>
      </c>
      <c r="R163" s="4" t="s">
        <v>130</v>
      </c>
      <c r="S163" s="4" t="s">
        <v>130</v>
      </c>
    </row>
    <row r="164" spans="1:19" x14ac:dyDescent="0.35">
      <c r="A164" s="1"/>
      <c r="B164" s="2"/>
      <c r="C164" s="2"/>
      <c r="D164" s="25" t="s">
        <v>185</v>
      </c>
      <c r="E164" s="4">
        <v>1219.2</v>
      </c>
      <c r="F164" s="4">
        <v>812.8</v>
      </c>
      <c r="G164" s="4">
        <f t="shared" si="9"/>
        <v>1200.1400000000001</v>
      </c>
      <c r="H164" s="4">
        <f t="shared" si="9"/>
        <v>793.74</v>
      </c>
      <c r="I164" s="4">
        <f t="shared" si="10"/>
        <v>1193.8</v>
      </c>
      <c r="J164" s="4">
        <f t="shared" si="10"/>
        <v>787.4</v>
      </c>
      <c r="K164" s="3">
        <v>9.5299999999999994</v>
      </c>
      <c r="L164" s="3">
        <v>9.5299999999999994</v>
      </c>
      <c r="M164" s="3">
        <v>12.7</v>
      </c>
      <c r="N164" s="3">
        <v>12.7</v>
      </c>
      <c r="O164" s="5">
        <v>787.4</v>
      </c>
      <c r="P164" s="5">
        <v>889</v>
      </c>
      <c r="Q164" s="5">
        <f t="shared" si="11"/>
        <v>1778</v>
      </c>
      <c r="R164" s="4" t="s">
        <v>130</v>
      </c>
      <c r="S164" s="4" t="s">
        <v>130</v>
      </c>
    </row>
    <row r="165" spans="1:19" x14ac:dyDescent="0.35">
      <c r="A165" s="1"/>
      <c r="B165" s="2"/>
      <c r="C165" s="2"/>
      <c r="D165" s="25" t="s">
        <v>186</v>
      </c>
      <c r="E165" s="4">
        <v>1219.2</v>
      </c>
      <c r="F165" s="4">
        <v>863.6</v>
      </c>
      <c r="G165" s="4">
        <f t="shared" si="9"/>
        <v>1200.1400000000001</v>
      </c>
      <c r="H165" s="4">
        <f t="shared" si="9"/>
        <v>844.54000000000008</v>
      </c>
      <c r="I165" s="4">
        <f t="shared" si="10"/>
        <v>1193.8</v>
      </c>
      <c r="J165" s="4">
        <f t="shared" si="10"/>
        <v>838.2</v>
      </c>
      <c r="K165" s="3">
        <v>9.5299999999999994</v>
      </c>
      <c r="L165" s="3">
        <v>9.5299999999999994</v>
      </c>
      <c r="M165" s="3">
        <v>12.7</v>
      </c>
      <c r="N165" s="3">
        <v>12.7</v>
      </c>
      <c r="O165" s="5">
        <v>787.4</v>
      </c>
      <c r="P165" s="5">
        <v>889</v>
      </c>
      <c r="Q165" s="5">
        <f t="shared" si="11"/>
        <v>1778</v>
      </c>
      <c r="R165" s="4" t="s">
        <v>130</v>
      </c>
      <c r="S165" s="4" t="s">
        <v>130</v>
      </c>
    </row>
    <row r="166" spans="1:19" x14ac:dyDescent="0.35">
      <c r="A166" s="1"/>
      <c r="B166" s="2"/>
      <c r="C166" s="2"/>
      <c r="D166" s="25" t="s">
        <v>187</v>
      </c>
      <c r="E166" s="4">
        <v>1219.2</v>
      </c>
      <c r="F166" s="4">
        <v>914.4</v>
      </c>
      <c r="G166" s="4">
        <f t="shared" si="9"/>
        <v>1200.1400000000001</v>
      </c>
      <c r="H166" s="4">
        <f t="shared" si="9"/>
        <v>895.34</v>
      </c>
      <c r="I166" s="4">
        <f t="shared" si="10"/>
        <v>1193.8</v>
      </c>
      <c r="J166" s="4">
        <f t="shared" si="10"/>
        <v>889</v>
      </c>
      <c r="K166" s="3">
        <v>9.5299999999999994</v>
      </c>
      <c r="L166" s="3">
        <v>9.5299999999999994</v>
      </c>
      <c r="M166" s="3">
        <v>12.7</v>
      </c>
      <c r="N166" s="3">
        <v>12.7</v>
      </c>
      <c r="O166" s="5">
        <v>787.4</v>
      </c>
      <c r="P166" s="5">
        <v>889</v>
      </c>
      <c r="Q166" s="5">
        <f t="shared" si="11"/>
        <v>1778</v>
      </c>
      <c r="R166" s="4" t="s">
        <v>130</v>
      </c>
      <c r="S166" s="4" t="s">
        <v>130</v>
      </c>
    </row>
    <row r="167" spans="1:19" x14ac:dyDescent="0.35">
      <c r="A167" s="1"/>
      <c r="B167" s="2"/>
      <c r="C167" s="2"/>
      <c r="D167" s="25" t="s">
        <v>188</v>
      </c>
      <c r="E167" s="4">
        <v>1219.2</v>
      </c>
      <c r="F167" s="4">
        <v>965.2</v>
      </c>
      <c r="G167" s="4">
        <f t="shared" si="9"/>
        <v>1200.1400000000001</v>
      </c>
      <c r="H167" s="4">
        <f t="shared" si="9"/>
        <v>946.1400000000001</v>
      </c>
      <c r="I167" s="4">
        <f t="shared" si="10"/>
        <v>1193.8</v>
      </c>
      <c r="J167" s="4">
        <f t="shared" si="10"/>
        <v>939.80000000000007</v>
      </c>
      <c r="K167" s="3">
        <v>9.5299999999999994</v>
      </c>
      <c r="L167" s="3">
        <v>9.5299999999999994</v>
      </c>
      <c r="M167" s="3">
        <v>12.7</v>
      </c>
      <c r="N167" s="3">
        <v>12.7</v>
      </c>
      <c r="O167" s="5">
        <v>812.8</v>
      </c>
      <c r="P167" s="5">
        <v>889</v>
      </c>
      <c r="Q167" s="5">
        <f t="shared" si="11"/>
        <v>1778</v>
      </c>
      <c r="R167" s="4" t="s">
        <v>130</v>
      </c>
      <c r="S167" s="4" t="s">
        <v>130</v>
      </c>
    </row>
    <row r="168" spans="1:19" x14ac:dyDescent="0.35">
      <c r="A168" s="1"/>
      <c r="B168" s="2"/>
      <c r="C168" s="2"/>
      <c r="D168" s="25" t="s">
        <v>189</v>
      </c>
      <c r="E168" s="4">
        <v>1219.2</v>
      </c>
      <c r="F168" s="4">
        <v>1016</v>
      </c>
      <c r="G168" s="4">
        <f t="shared" si="9"/>
        <v>1200.1400000000001</v>
      </c>
      <c r="H168" s="4">
        <f t="shared" si="9"/>
        <v>996.94</v>
      </c>
      <c r="I168" s="4">
        <f t="shared" si="10"/>
        <v>1193.8</v>
      </c>
      <c r="J168" s="4">
        <f t="shared" si="10"/>
        <v>990.6</v>
      </c>
      <c r="K168" s="3">
        <v>9.5299999999999994</v>
      </c>
      <c r="L168" s="3">
        <v>9.5299999999999994</v>
      </c>
      <c r="M168" s="3">
        <v>12.7</v>
      </c>
      <c r="N168" s="3">
        <v>12.7</v>
      </c>
      <c r="O168" s="5">
        <v>812.8</v>
      </c>
      <c r="P168" s="5">
        <v>889</v>
      </c>
      <c r="Q168" s="5">
        <f t="shared" si="11"/>
        <v>1778</v>
      </c>
      <c r="R168" s="4" t="s">
        <v>130</v>
      </c>
      <c r="S168" s="4" t="s">
        <v>130</v>
      </c>
    </row>
    <row r="169" spans="1:19" x14ac:dyDescent="0.35">
      <c r="A169" s="1"/>
      <c r="B169" s="2"/>
      <c r="C169" s="2"/>
      <c r="D169" s="25" t="s">
        <v>190</v>
      </c>
      <c r="E169" s="4">
        <v>1219.2</v>
      </c>
      <c r="F169" s="4">
        <v>1066.8</v>
      </c>
      <c r="G169" s="4">
        <f t="shared" si="9"/>
        <v>1200.1400000000001</v>
      </c>
      <c r="H169" s="4">
        <f t="shared" si="9"/>
        <v>1047.74</v>
      </c>
      <c r="I169" s="4">
        <f t="shared" si="10"/>
        <v>1193.8</v>
      </c>
      <c r="J169" s="4">
        <f t="shared" si="10"/>
        <v>1041.3999999999999</v>
      </c>
      <c r="K169" s="3">
        <v>9.5299999999999994</v>
      </c>
      <c r="L169" s="3">
        <v>9.5299999999999994</v>
      </c>
      <c r="M169" s="3">
        <v>12.7</v>
      </c>
      <c r="N169" s="3">
        <v>12.7</v>
      </c>
      <c r="O169" s="5">
        <v>812.8</v>
      </c>
      <c r="P169" s="5">
        <v>889</v>
      </c>
      <c r="Q169" s="5">
        <f t="shared" si="11"/>
        <v>1778</v>
      </c>
      <c r="R169" s="4" t="s">
        <v>130</v>
      </c>
      <c r="S169" s="4" t="s">
        <v>130</v>
      </c>
    </row>
    <row r="170" spans="1:19" x14ac:dyDescent="0.35">
      <c r="A170" s="1"/>
      <c r="B170" s="2"/>
      <c r="C170" s="2"/>
      <c r="D170" s="25" t="s">
        <v>191</v>
      </c>
      <c r="E170" s="4">
        <v>1219.2</v>
      </c>
      <c r="F170" s="4">
        <v>1117.5999999999999</v>
      </c>
      <c r="G170" s="4">
        <f t="shared" si="9"/>
        <v>1200.1400000000001</v>
      </c>
      <c r="H170" s="4">
        <f t="shared" si="9"/>
        <v>1098.54</v>
      </c>
      <c r="I170" s="4">
        <f t="shared" si="10"/>
        <v>1193.8</v>
      </c>
      <c r="J170" s="4">
        <f t="shared" si="10"/>
        <v>1092.1999999999998</v>
      </c>
      <c r="K170" s="3">
        <v>9.5299999999999994</v>
      </c>
      <c r="L170" s="3">
        <v>9.5299999999999994</v>
      </c>
      <c r="M170" s="3">
        <v>12.7</v>
      </c>
      <c r="N170" s="3">
        <v>12.7</v>
      </c>
      <c r="O170" s="5">
        <v>838.2</v>
      </c>
      <c r="P170" s="5">
        <v>889</v>
      </c>
      <c r="Q170" s="5">
        <f t="shared" si="11"/>
        <v>1778</v>
      </c>
      <c r="R170" s="4" t="s">
        <v>130</v>
      </c>
      <c r="S170" s="4" t="s">
        <v>130</v>
      </c>
    </row>
    <row r="171" spans="1:19" x14ac:dyDescent="0.35">
      <c r="A171" s="1"/>
      <c r="B171" s="2"/>
      <c r="C171" s="2"/>
      <c r="D171" s="25" t="s">
        <v>192</v>
      </c>
      <c r="E171" s="4">
        <v>1219.2</v>
      </c>
      <c r="F171" s="4">
        <v>1168.4000000000001</v>
      </c>
      <c r="G171" s="4">
        <f t="shared" si="9"/>
        <v>1200.1400000000001</v>
      </c>
      <c r="H171" s="4">
        <f t="shared" si="9"/>
        <v>1149.3400000000001</v>
      </c>
      <c r="I171" s="4">
        <f t="shared" si="10"/>
        <v>1193.8</v>
      </c>
      <c r="J171" s="4">
        <f t="shared" si="10"/>
        <v>1143</v>
      </c>
      <c r="K171" s="3">
        <v>9.5299999999999994</v>
      </c>
      <c r="L171" s="3">
        <v>9.5299999999999994</v>
      </c>
      <c r="M171" s="3">
        <v>12.7</v>
      </c>
      <c r="N171" s="3">
        <v>12.7</v>
      </c>
      <c r="O171" s="5">
        <v>838.2</v>
      </c>
      <c r="P171" s="5">
        <v>889</v>
      </c>
      <c r="Q171" s="5">
        <f t="shared" si="11"/>
        <v>1778</v>
      </c>
      <c r="R171" s="4" t="s">
        <v>130</v>
      </c>
      <c r="S171" s="4" t="s">
        <v>130</v>
      </c>
    </row>
    <row r="172" spans="1:19" ht="15" thickBot="1" x14ac:dyDescent="0.4">
      <c r="A172" s="8"/>
      <c r="B172" s="2"/>
      <c r="C172" s="2"/>
      <c r="D172" s="26"/>
      <c r="E172" s="8"/>
      <c r="F172" s="8"/>
      <c r="G172" s="2"/>
      <c r="H172" s="8"/>
      <c r="I172" s="8"/>
      <c r="J172" s="8"/>
      <c r="K172" s="9"/>
      <c r="L172" s="8"/>
      <c r="M172" s="8"/>
      <c r="N172" s="8"/>
      <c r="O172" s="8"/>
      <c r="P172" s="8"/>
      <c r="Q172" s="8"/>
      <c r="R172" s="8"/>
      <c r="S172" s="8"/>
    </row>
    <row r="173" spans="1:19" s="15" customFormat="1" x14ac:dyDescent="0.35">
      <c r="A173" s="10" t="s">
        <v>0</v>
      </c>
      <c r="B173" s="11"/>
      <c r="C173" s="11"/>
      <c r="D173" s="27" t="s">
        <v>193</v>
      </c>
      <c r="E173" s="29" t="s">
        <v>2</v>
      </c>
      <c r="F173" s="30"/>
      <c r="G173" s="31" t="s">
        <v>194</v>
      </c>
      <c r="H173" s="31"/>
      <c r="I173" s="29" t="s">
        <v>195</v>
      </c>
      <c r="J173" s="30"/>
      <c r="K173" s="12" t="s">
        <v>196</v>
      </c>
      <c r="L173" s="13" t="s">
        <v>197</v>
      </c>
      <c r="M173" s="29" t="s">
        <v>5</v>
      </c>
      <c r="N173" s="31"/>
      <c r="O173" s="31"/>
      <c r="P173" s="30"/>
      <c r="Q173" s="29" t="s">
        <v>198</v>
      </c>
      <c r="R173" s="30"/>
      <c r="S173" s="14"/>
    </row>
    <row r="174" spans="1:19" s="15" customFormat="1" ht="15" thickBot="1" x14ac:dyDescent="0.4">
      <c r="A174" s="16" t="s">
        <v>199</v>
      </c>
      <c r="B174" s="17"/>
      <c r="C174" s="17"/>
      <c r="D174" s="24" t="s">
        <v>200</v>
      </c>
      <c r="E174" s="18" t="s">
        <v>10</v>
      </c>
      <c r="F174" s="19" t="s">
        <v>11</v>
      </c>
      <c r="G174" s="20" t="s">
        <v>12</v>
      </c>
      <c r="H174" s="20" t="s">
        <v>13</v>
      </c>
      <c r="I174" s="18" t="s">
        <v>12</v>
      </c>
      <c r="J174" s="19" t="s">
        <v>13</v>
      </c>
      <c r="K174" s="18" t="s">
        <v>201</v>
      </c>
      <c r="L174" s="19" t="s">
        <v>202</v>
      </c>
      <c r="M174" s="18" t="s">
        <v>203</v>
      </c>
      <c r="N174" s="20" t="s">
        <v>204</v>
      </c>
      <c r="O174" s="20" t="s">
        <v>205</v>
      </c>
      <c r="P174" s="19" t="s">
        <v>206</v>
      </c>
      <c r="Q174" s="18" t="s">
        <v>21</v>
      </c>
      <c r="R174" s="19" t="s">
        <v>22</v>
      </c>
      <c r="S174" s="14"/>
    </row>
    <row r="175" spans="1:19" x14ac:dyDescent="0.35">
      <c r="A175" s="1"/>
      <c r="B175" s="2"/>
      <c r="C175" s="2"/>
      <c r="D175" s="25" t="s">
        <v>207</v>
      </c>
      <c r="E175" s="3">
        <v>26.67</v>
      </c>
      <c r="F175" s="3">
        <v>21.34</v>
      </c>
      <c r="G175" s="2">
        <f t="shared" ref="G175:H187" si="12">E175-2*M175</f>
        <v>20.93</v>
      </c>
      <c r="H175" s="2">
        <f t="shared" si="12"/>
        <v>15.8</v>
      </c>
      <c r="I175" s="2">
        <f t="shared" ref="I175:J187" si="13">E175-2*O175</f>
        <v>18.850000000000001</v>
      </c>
      <c r="J175" s="2">
        <f t="shared" si="13"/>
        <v>13.879999999999999</v>
      </c>
      <c r="K175" s="5">
        <v>38.1</v>
      </c>
      <c r="L175" s="4">
        <f t="shared" ref="L175:L206" si="14">E175/2-F175/2</f>
        <v>2.6650000000000009</v>
      </c>
      <c r="M175" s="3">
        <v>2.87</v>
      </c>
      <c r="N175" s="3">
        <v>2.77</v>
      </c>
      <c r="O175" s="3">
        <v>3.91</v>
      </c>
      <c r="P175" s="3">
        <v>3.73</v>
      </c>
      <c r="Q175" s="4">
        <v>0.11</v>
      </c>
      <c r="R175" s="4">
        <v>0.12</v>
      </c>
      <c r="S175" s="8"/>
    </row>
    <row r="176" spans="1:19" x14ac:dyDescent="0.35">
      <c r="A176" s="1"/>
      <c r="B176" s="2"/>
      <c r="C176" s="2"/>
      <c r="D176" s="25" t="s">
        <v>208</v>
      </c>
      <c r="E176" s="3">
        <v>33.4</v>
      </c>
      <c r="F176" s="3">
        <v>21.34</v>
      </c>
      <c r="G176" s="4">
        <f t="shared" si="12"/>
        <v>26.64</v>
      </c>
      <c r="H176" s="4">
        <f t="shared" si="12"/>
        <v>15.8</v>
      </c>
      <c r="I176" s="4">
        <f t="shared" si="13"/>
        <v>24.299999999999997</v>
      </c>
      <c r="J176" s="4">
        <f t="shared" si="13"/>
        <v>13.879999999999999</v>
      </c>
      <c r="K176" s="5">
        <v>50.8</v>
      </c>
      <c r="L176" s="4">
        <f t="shared" si="14"/>
        <v>6.0299999999999994</v>
      </c>
      <c r="M176" s="3">
        <v>3.38</v>
      </c>
      <c r="N176" s="3">
        <v>2.77</v>
      </c>
      <c r="O176" s="3">
        <v>4.55</v>
      </c>
      <c r="P176" s="3">
        <v>3.73</v>
      </c>
      <c r="Q176" s="4">
        <v>0.15</v>
      </c>
      <c r="R176" s="4">
        <v>0.16</v>
      </c>
      <c r="S176" s="8"/>
    </row>
    <row r="177" spans="1:19" x14ac:dyDescent="0.35">
      <c r="A177" s="1"/>
      <c r="B177" s="2"/>
      <c r="C177" s="2"/>
      <c r="D177" s="25" t="s">
        <v>209</v>
      </c>
      <c r="E177" s="3">
        <v>33.4</v>
      </c>
      <c r="F177" s="3">
        <v>26.67</v>
      </c>
      <c r="G177" s="4">
        <f t="shared" si="12"/>
        <v>26.64</v>
      </c>
      <c r="H177" s="4">
        <f t="shared" si="12"/>
        <v>20.93</v>
      </c>
      <c r="I177" s="4">
        <f t="shared" si="13"/>
        <v>24.299999999999997</v>
      </c>
      <c r="J177" s="4">
        <f t="shared" si="13"/>
        <v>18.850000000000001</v>
      </c>
      <c r="K177" s="5">
        <v>50.8</v>
      </c>
      <c r="L177" s="4">
        <f t="shared" si="14"/>
        <v>3.3649999999999984</v>
      </c>
      <c r="M177" s="3">
        <v>3.38</v>
      </c>
      <c r="N177" s="3">
        <v>2.87</v>
      </c>
      <c r="O177" s="3">
        <v>4.55</v>
      </c>
      <c r="P177" s="3">
        <v>3.91</v>
      </c>
      <c r="Q177" s="4">
        <v>0.17</v>
      </c>
      <c r="R177" s="4">
        <v>0.17</v>
      </c>
      <c r="S177" s="8"/>
    </row>
    <row r="178" spans="1:19" x14ac:dyDescent="0.35">
      <c r="A178" s="1"/>
      <c r="B178" s="2"/>
      <c r="C178" s="2"/>
      <c r="D178" s="25" t="s">
        <v>210</v>
      </c>
      <c r="E178" s="3">
        <v>48.26</v>
      </c>
      <c r="F178" s="3">
        <v>21.34</v>
      </c>
      <c r="G178" s="4">
        <f t="shared" si="12"/>
        <v>40.9</v>
      </c>
      <c r="H178" s="4">
        <f t="shared" si="12"/>
        <v>15.8</v>
      </c>
      <c r="I178" s="4">
        <f t="shared" si="13"/>
        <v>38.099999999999994</v>
      </c>
      <c r="J178" s="4">
        <f t="shared" si="13"/>
        <v>13.879999999999999</v>
      </c>
      <c r="K178" s="5">
        <v>63.5</v>
      </c>
      <c r="L178" s="4">
        <f t="shared" si="14"/>
        <v>13.459999999999999</v>
      </c>
      <c r="M178" s="3">
        <v>3.68</v>
      </c>
      <c r="N178" s="3">
        <v>2.77</v>
      </c>
      <c r="O178" s="3">
        <v>5.08</v>
      </c>
      <c r="P178" s="3">
        <v>3.73</v>
      </c>
      <c r="Q178" s="4">
        <v>0.22</v>
      </c>
      <c r="R178" s="4">
        <v>0.28000000000000003</v>
      </c>
      <c r="S178" s="8"/>
    </row>
    <row r="179" spans="1:19" x14ac:dyDescent="0.35">
      <c r="A179" s="1"/>
      <c r="B179" s="2"/>
      <c r="C179" s="2"/>
      <c r="D179" s="25" t="s">
        <v>211</v>
      </c>
      <c r="E179" s="3">
        <v>48.26</v>
      </c>
      <c r="F179" s="3">
        <v>26.67</v>
      </c>
      <c r="G179" s="4">
        <f t="shared" si="12"/>
        <v>40.9</v>
      </c>
      <c r="H179" s="4">
        <f t="shared" si="12"/>
        <v>20.93</v>
      </c>
      <c r="I179" s="4">
        <f t="shared" si="13"/>
        <v>38.099999999999994</v>
      </c>
      <c r="J179" s="4">
        <f t="shared" si="13"/>
        <v>18.850000000000001</v>
      </c>
      <c r="K179" s="5">
        <v>63.5</v>
      </c>
      <c r="L179" s="4">
        <f t="shared" si="14"/>
        <v>10.794999999999998</v>
      </c>
      <c r="M179" s="3">
        <v>3.68</v>
      </c>
      <c r="N179" s="3">
        <v>2.87</v>
      </c>
      <c r="O179" s="3">
        <v>5.08</v>
      </c>
      <c r="P179" s="3">
        <v>3.91</v>
      </c>
      <c r="Q179" s="4">
        <v>0.23</v>
      </c>
      <c r="R179" s="4">
        <v>0.28000000000000003</v>
      </c>
      <c r="S179" s="8"/>
    </row>
    <row r="180" spans="1:19" x14ac:dyDescent="0.35">
      <c r="A180" s="1"/>
      <c r="B180" s="2"/>
      <c r="C180" s="2"/>
      <c r="D180" s="25" t="s">
        <v>212</v>
      </c>
      <c r="E180" s="3">
        <v>48.26</v>
      </c>
      <c r="F180" s="3">
        <v>33.4</v>
      </c>
      <c r="G180" s="4">
        <f t="shared" si="12"/>
        <v>40.9</v>
      </c>
      <c r="H180" s="4">
        <f t="shared" si="12"/>
        <v>26.64</v>
      </c>
      <c r="I180" s="4">
        <f t="shared" si="13"/>
        <v>38.099999999999994</v>
      </c>
      <c r="J180" s="4">
        <f t="shared" si="13"/>
        <v>24.299999999999997</v>
      </c>
      <c r="K180" s="5">
        <v>63.5</v>
      </c>
      <c r="L180" s="4">
        <f t="shared" si="14"/>
        <v>7.43</v>
      </c>
      <c r="M180" s="3">
        <v>3.68</v>
      </c>
      <c r="N180" s="3">
        <v>3.38</v>
      </c>
      <c r="O180" s="3">
        <v>5.08</v>
      </c>
      <c r="P180" s="3">
        <v>4.55</v>
      </c>
      <c r="Q180" s="4">
        <v>0.24</v>
      </c>
      <c r="R180" s="4">
        <v>0.31</v>
      </c>
      <c r="S180" s="8"/>
    </row>
    <row r="181" spans="1:19" x14ac:dyDescent="0.35">
      <c r="A181" s="1"/>
      <c r="B181" s="2"/>
      <c r="C181" s="2"/>
      <c r="D181" s="25" t="s">
        <v>213</v>
      </c>
      <c r="E181" s="3">
        <v>60.33</v>
      </c>
      <c r="F181" s="3">
        <v>48.26</v>
      </c>
      <c r="G181" s="4">
        <f t="shared" si="12"/>
        <v>52.51</v>
      </c>
      <c r="H181" s="4">
        <f t="shared" si="12"/>
        <v>42.519999999999996</v>
      </c>
      <c r="I181" s="4">
        <f t="shared" si="13"/>
        <v>49.25</v>
      </c>
      <c r="J181" s="4">
        <f t="shared" si="13"/>
        <v>40.44</v>
      </c>
      <c r="K181" s="5">
        <v>76.2</v>
      </c>
      <c r="L181" s="4">
        <f t="shared" si="14"/>
        <v>6.0350000000000001</v>
      </c>
      <c r="M181" s="3">
        <v>3.91</v>
      </c>
      <c r="N181" s="3">
        <v>2.87</v>
      </c>
      <c r="O181" s="3">
        <v>5.54</v>
      </c>
      <c r="P181" s="3">
        <v>3.91</v>
      </c>
      <c r="Q181" s="4">
        <v>0.33</v>
      </c>
      <c r="R181" s="4">
        <v>0.45</v>
      </c>
      <c r="S181" s="8"/>
    </row>
    <row r="182" spans="1:19" x14ac:dyDescent="0.35">
      <c r="A182" s="1"/>
      <c r="B182" s="2"/>
      <c r="C182" s="2"/>
      <c r="D182" s="25" t="s">
        <v>214</v>
      </c>
      <c r="E182" s="3">
        <v>60.33</v>
      </c>
      <c r="F182" s="3">
        <v>33.4</v>
      </c>
      <c r="G182" s="4">
        <f t="shared" si="12"/>
        <v>52.51</v>
      </c>
      <c r="H182" s="4">
        <f t="shared" si="12"/>
        <v>26.64</v>
      </c>
      <c r="I182" s="4">
        <f t="shared" si="13"/>
        <v>49.25</v>
      </c>
      <c r="J182" s="4">
        <f t="shared" si="13"/>
        <v>24.299999999999997</v>
      </c>
      <c r="K182" s="5">
        <v>76.2</v>
      </c>
      <c r="L182" s="4">
        <f t="shared" si="14"/>
        <v>13.465</v>
      </c>
      <c r="M182" s="3">
        <v>3.91</v>
      </c>
      <c r="N182" s="3">
        <v>3.38</v>
      </c>
      <c r="O182" s="3">
        <v>5.54</v>
      </c>
      <c r="P182" s="3">
        <v>4.55</v>
      </c>
      <c r="Q182" s="4">
        <v>0.37</v>
      </c>
      <c r="R182" s="4">
        <v>0.46</v>
      </c>
      <c r="S182" s="8"/>
    </row>
    <row r="183" spans="1:19" x14ac:dyDescent="0.35">
      <c r="A183" s="1"/>
      <c r="B183" s="2"/>
      <c r="C183" s="2"/>
      <c r="D183" s="25" t="s">
        <v>215</v>
      </c>
      <c r="E183" s="3">
        <v>60.33</v>
      </c>
      <c r="F183" s="3">
        <v>48.26</v>
      </c>
      <c r="G183" s="4">
        <f t="shared" si="12"/>
        <v>52.51</v>
      </c>
      <c r="H183" s="4">
        <f t="shared" si="12"/>
        <v>40.9</v>
      </c>
      <c r="I183" s="4">
        <f t="shared" si="13"/>
        <v>49.25</v>
      </c>
      <c r="J183" s="4">
        <f t="shared" si="13"/>
        <v>38.099999999999994</v>
      </c>
      <c r="K183" s="5">
        <v>76.2</v>
      </c>
      <c r="L183" s="4">
        <f t="shared" si="14"/>
        <v>6.0350000000000001</v>
      </c>
      <c r="M183" s="3">
        <v>3.91</v>
      </c>
      <c r="N183" s="3">
        <v>3.68</v>
      </c>
      <c r="O183" s="3">
        <v>5.54</v>
      </c>
      <c r="P183" s="3">
        <v>5.08</v>
      </c>
      <c r="Q183" s="4">
        <v>0.41</v>
      </c>
      <c r="R183" s="4">
        <v>0.54</v>
      </c>
      <c r="S183" s="8"/>
    </row>
    <row r="184" spans="1:19" x14ac:dyDescent="0.35">
      <c r="A184" s="1"/>
      <c r="B184" s="2"/>
      <c r="C184" s="2"/>
      <c r="D184" s="25" t="s">
        <v>216</v>
      </c>
      <c r="E184" s="3">
        <v>88.9</v>
      </c>
      <c r="F184" s="3">
        <v>48.26</v>
      </c>
      <c r="G184" s="4">
        <f t="shared" si="12"/>
        <v>77.92</v>
      </c>
      <c r="H184" s="4">
        <f t="shared" si="12"/>
        <v>40.9</v>
      </c>
      <c r="I184" s="4">
        <f t="shared" si="13"/>
        <v>73.660000000000011</v>
      </c>
      <c r="J184" s="4">
        <f t="shared" si="13"/>
        <v>38.099999999999994</v>
      </c>
      <c r="K184" s="5">
        <v>88.9</v>
      </c>
      <c r="L184" s="4">
        <f t="shared" si="14"/>
        <v>20.320000000000004</v>
      </c>
      <c r="M184" s="3">
        <v>5.49</v>
      </c>
      <c r="N184" s="3">
        <v>3.68</v>
      </c>
      <c r="O184" s="3">
        <v>7.62</v>
      </c>
      <c r="P184" s="3">
        <v>5.08</v>
      </c>
      <c r="Q184" s="4">
        <v>0.86</v>
      </c>
      <c r="R184" s="4">
        <v>0.99</v>
      </c>
      <c r="S184" s="8"/>
    </row>
    <row r="185" spans="1:19" x14ac:dyDescent="0.35">
      <c r="A185" s="1"/>
      <c r="B185" s="2"/>
      <c r="C185" s="2"/>
      <c r="D185" s="25" t="s">
        <v>217</v>
      </c>
      <c r="E185" s="3">
        <v>88.9</v>
      </c>
      <c r="F185" s="3">
        <v>60.33</v>
      </c>
      <c r="G185" s="4">
        <f t="shared" si="12"/>
        <v>77.92</v>
      </c>
      <c r="H185" s="4">
        <f t="shared" si="12"/>
        <v>52.51</v>
      </c>
      <c r="I185" s="4">
        <f t="shared" si="13"/>
        <v>73.660000000000011</v>
      </c>
      <c r="J185" s="4">
        <f t="shared" si="13"/>
        <v>49.25</v>
      </c>
      <c r="K185" s="5">
        <v>88.9</v>
      </c>
      <c r="L185" s="4">
        <f t="shared" si="14"/>
        <v>14.285000000000004</v>
      </c>
      <c r="M185" s="3">
        <v>5.49</v>
      </c>
      <c r="N185" s="3">
        <v>3.91</v>
      </c>
      <c r="O185" s="3">
        <v>7.62</v>
      </c>
      <c r="P185" s="3">
        <v>5.54</v>
      </c>
      <c r="Q185" s="4">
        <v>0.91</v>
      </c>
      <c r="R185" s="4">
        <v>1.18</v>
      </c>
      <c r="S185" s="8"/>
    </row>
    <row r="186" spans="1:19" x14ac:dyDescent="0.35">
      <c r="A186" s="1"/>
      <c r="B186" s="2"/>
      <c r="C186" s="2"/>
      <c r="D186" s="25" t="s">
        <v>218</v>
      </c>
      <c r="E186" s="3">
        <v>114.3</v>
      </c>
      <c r="F186" s="3">
        <v>48.26</v>
      </c>
      <c r="G186" s="4">
        <f t="shared" si="12"/>
        <v>102.25999999999999</v>
      </c>
      <c r="H186" s="4">
        <f t="shared" si="12"/>
        <v>40.9</v>
      </c>
      <c r="I186" s="4">
        <f t="shared" si="13"/>
        <v>97.179999999999993</v>
      </c>
      <c r="J186" s="4">
        <f t="shared" si="13"/>
        <v>38.099999999999994</v>
      </c>
      <c r="K186" s="5">
        <v>101.6</v>
      </c>
      <c r="L186" s="4">
        <f t="shared" si="14"/>
        <v>33.019999999999996</v>
      </c>
      <c r="M186" s="3">
        <v>6.02</v>
      </c>
      <c r="N186" s="3">
        <v>3.68</v>
      </c>
      <c r="O186" s="3">
        <v>8.56</v>
      </c>
      <c r="P186" s="3">
        <v>5.08</v>
      </c>
      <c r="Q186" s="4">
        <v>1.24</v>
      </c>
      <c r="R186" s="4">
        <v>1.73</v>
      </c>
      <c r="S186" s="8"/>
    </row>
    <row r="187" spans="1:19" x14ac:dyDescent="0.35">
      <c r="A187" s="1"/>
      <c r="B187" s="2"/>
      <c r="C187" s="2"/>
      <c r="D187" s="25" t="s">
        <v>219</v>
      </c>
      <c r="E187" s="3">
        <v>114.3</v>
      </c>
      <c r="F187" s="3">
        <v>60.33</v>
      </c>
      <c r="G187" s="4">
        <f t="shared" si="12"/>
        <v>102.25999999999999</v>
      </c>
      <c r="H187" s="4">
        <f t="shared" si="12"/>
        <v>52.51</v>
      </c>
      <c r="I187" s="4">
        <f t="shared" si="13"/>
        <v>97.179999999999993</v>
      </c>
      <c r="J187" s="4">
        <f t="shared" si="13"/>
        <v>49.25</v>
      </c>
      <c r="K187" s="5">
        <v>101.6</v>
      </c>
      <c r="L187" s="4">
        <f t="shared" si="14"/>
        <v>26.984999999999999</v>
      </c>
      <c r="M187" s="3">
        <v>6.02</v>
      </c>
      <c r="N187" s="3">
        <v>3.91</v>
      </c>
      <c r="O187" s="3">
        <v>8.56</v>
      </c>
      <c r="P187" s="3">
        <v>5.54</v>
      </c>
      <c r="Q187" s="4">
        <v>1.44</v>
      </c>
      <c r="R187" s="4">
        <v>1.78</v>
      </c>
      <c r="S187" s="8"/>
    </row>
    <row r="188" spans="1:19" x14ac:dyDescent="0.35">
      <c r="A188" s="1"/>
      <c r="B188" s="2"/>
      <c r="C188" s="2"/>
      <c r="D188" s="25" t="s">
        <v>220</v>
      </c>
      <c r="E188" s="3">
        <v>114.3</v>
      </c>
      <c r="F188" s="3">
        <v>88.9</v>
      </c>
      <c r="G188" s="4">
        <f t="shared" ref="G188:H206" si="15">E188-2*M188</f>
        <v>102.25999999999999</v>
      </c>
      <c r="H188" s="4">
        <f t="shared" si="15"/>
        <v>77.92</v>
      </c>
      <c r="I188" s="4">
        <f t="shared" ref="I188:J206" si="16">E188-2*O188</f>
        <v>97.179999999999993</v>
      </c>
      <c r="J188" s="4">
        <f t="shared" si="16"/>
        <v>73.660000000000011</v>
      </c>
      <c r="K188" s="5">
        <v>101.6</v>
      </c>
      <c r="L188" s="4">
        <f t="shared" si="14"/>
        <v>12.699999999999996</v>
      </c>
      <c r="M188" s="3">
        <v>6.02</v>
      </c>
      <c r="N188" s="3">
        <v>5.49</v>
      </c>
      <c r="O188" s="3">
        <v>8.56</v>
      </c>
      <c r="P188" s="3">
        <v>7.62</v>
      </c>
      <c r="Q188" s="4">
        <v>1.59</v>
      </c>
      <c r="R188" s="4">
        <v>2.13</v>
      </c>
      <c r="S188" s="8"/>
    </row>
    <row r="189" spans="1:19" x14ac:dyDescent="0.35">
      <c r="A189" s="1"/>
      <c r="B189" s="2"/>
      <c r="C189" s="2"/>
      <c r="D189" s="25" t="s">
        <v>221</v>
      </c>
      <c r="E189" s="3">
        <v>168.28</v>
      </c>
      <c r="F189" s="3">
        <v>88.9</v>
      </c>
      <c r="G189" s="4">
        <f t="shared" si="15"/>
        <v>154.06</v>
      </c>
      <c r="H189" s="4">
        <f t="shared" si="15"/>
        <v>77.92</v>
      </c>
      <c r="I189" s="4">
        <f t="shared" si="16"/>
        <v>146.34</v>
      </c>
      <c r="J189" s="4">
        <f t="shared" si="16"/>
        <v>73.660000000000011</v>
      </c>
      <c r="K189" s="5">
        <v>139.69999999999999</v>
      </c>
      <c r="L189" s="4">
        <f t="shared" si="14"/>
        <v>39.69</v>
      </c>
      <c r="M189" s="3">
        <v>7.11</v>
      </c>
      <c r="N189" s="3">
        <v>5.49</v>
      </c>
      <c r="O189" s="3">
        <v>10.97</v>
      </c>
      <c r="P189" s="3">
        <v>7.62</v>
      </c>
      <c r="Q189" s="4">
        <v>3.63</v>
      </c>
      <c r="R189" s="4">
        <v>5.04</v>
      </c>
      <c r="S189" s="8"/>
    </row>
    <row r="190" spans="1:19" x14ac:dyDescent="0.35">
      <c r="A190" s="1"/>
      <c r="B190" s="2"/>
      <c r="C190" s="2"/>
      <c r="D190" s="25" t="s">
        <v>222</v>
      </c>
      <c r="E190" s="3">
        <v>168.28</v>
      </c>
      <c r="F190" s="3">
        <v>114.3</v>
      </c>
      <c r="G190" s="4">
        <f t="shared" si="15"/>
        <v>154.06</v>
      </c>
      <c r="H190" s="4">
        <f t="shared" si="15"/>
        <v>102.25999999999999</v>
      </c>
      <c r="I190" s="4">
        <f t="shared" si="16"/>
        <v>146.34</v>
      </c>
      <c r="J190" s="4">
        <f t="shared" si="16"/>
        <v>97.179999999999993</v>
      </c>
      <c r="K190" s="5">
        <v>139.69999999999999</v>
      </c>
      <c r="L190" s="4">
        <f t="shared" si="14"/>
        <v>26.990000000000002</v>
      </c>
      <c r="M190" s="3">
        <v>7.11</v>
      </c>
      <c r="N190" s="3">
        <v>6.02</v>
      </c>
      <c r="O190" s="3">
        <v>10.97</v>
      </c>
      <c r="P190" s="3">
        <v>8.56</v>
      </c>
      <c r="Q190" s="4">
        <v>3.72</v>
      </c>
      <c r="R190" s="4">
        <v>5.45</v>
      </c>
      <c r="S190" s="8"/>
    </row>
    <row r="191" spans="1:19" x14ac:dyDescent="0.35">
      <c r="A191" s="1"/>
      <c r="B191" s="2"/>
      <c r="C191" s="2"/>
      <c r="D191" s="25" t="s">
        <v>223</v>
      </c>
      <c r="E191" s="3">
        <v>219.08</v>
      </c>
      <c r="F191" s="3">
        <v>114.3</v>
      </c>
      <c r="G191" s="4">
        <f t="shared" si="15"/>
        <v>202.72000000000003</v>
      </c>
      <c r="H191" s="4">
        <f t="shared" si="15"/>
        <v>102.25999999999999</v>
      </c>
      <c r="I191" s="4">
        <f t="shared" si="16"/>
        <v>193.68</v>
      </c>
      <c r="J191" s="4">
        <f t="shared" si="16"/>
        <v>97.179999999999993</v>
      </c>
      <c r="K191" s="5">
        <v>152.4</v>
      </c>
      <c r="L191" s="4">
        <f t="shared" si="14"/>
        <v>52.390000000000008</v>
      </c>
      <c r="M191" s="3">
        <v>8.18</v>
      </c>
      <c r="N191" s="3">
        <v>6.02</v>
      </c>
      <c r="O191" s="3">
        <v>12.7</v>
      </c>
      <c r="P191" s="3">
        <v>8.56</v>
      </c>
      <c r="Q191" s="4">
        <v>5.95</v>
      </c>
      <c r="R191" s="4">
        <v>8.44</v>
      </c>
      <c r="S191" s="8"/>
    </row>
    <row r="192" spans="1:19" x14ac:dyDescent="0.35">
      <c r="A192" s="1"/>
      <c r="B192" s="2"/>
      <c r="C192" s="2"/>
      <c r="D192" s="25" t="s">
        <v>224</v>
      </c>
      <c r="E192" s="3">
        <v>219.08</v>
      </c>
      <c r="F192" s="3">
        <v>168.28</v>
      </c>
      <c r="G192" s="4">
        <f t="shared" si="15"/>
        <v>202.72000000000003</v>
      </c>
      <c r="H192" s="4">
        <f t="shared" si="15"/>
        <v>154.06</v>
      </c>
      <c r="I192" s="4">
        <f t="shared" si="16"/>
        <v>193.68</v>
      </c>
      <c r="J192" s="4">
        <f t="shared" si="16"/>
        <v>146.34</v>
      </c>
      <c r="K192" s="5">
        <v>152.4</v>
      </c>
      <c r="L192" s="4">
        <f t="shared" si="14"/>
        <v>25.400000000000006</v>
      </c>
      <c r="M192" s="3">
        <v>8.18</v>
      </c>
      <c r="N192" s="3">
        <v>7.11</v>
      </c>
      <c r="O192" s="3">
        <v>12.7</v>
      </c>
      <c r="P192" s="3">
        <v>10.97</v>
      </c>
      <c r="Q192" s="4">
        <v>6.31</v>
      </c>
      <c r="R192" s="4">
        <v>9.26</v>
      </c>
      <c r="S192" s="8"/>
    </row>
    <row r="193" spans="1:19" x14ac:dyDescent="0.35">
      <c r="A193" s="1"/>
      <c r="B193" s="2"/>
      <c r="C193" s="2"/>
      <c r="D193" s="25" t="s">
        <v>225</v>
      </c>
      <c r="E193" s="3">
        <v>273.05</v>
      </c>
      <c r="F193" s="3">
        <v>114.3</v>
      </c>
      <c r="G193" s="4">
        <f t="shared" si="15"/>
        <v>254.51000000000002</v>
      </c>
      <c r="H193" s="4">
        <f t="shared" si="15"/>
        <v>102.25999999999999</v>
      </c>
      <c r="I193" s="4">
        <f t="shared" si="16"/>
        <v>247.65</v>
      </c>
      <c r="J193" s="4">
        <f t="shared" si="16"/>
        <v>97.179999999999993</v>
      </c>
      <c r="K193" s="5">
        <v>177.8</v>
      </c>
      <c r="L193" s="4">
        <f t="shared" si="14"/>
        <v>79.375</v>
      </c>
      <c r="M193" s="3">
        <v>9.27</v>
      </c>
      <c r="N193" s="3">
        <v>6.02</v>
      </c>
      <c r="O193" s="3">
        <v>12.7</v>
      </c>
      <c r="P193" s="3">
        <v>8.56</v>
      </c>
      <c r="Q193" s="4">
        <v>9.58</v>
      </c>
      <c r="R193" s="4">
        <v>11.5</v>
      </c>
      <c r="S193" s="8"/>
    </row>
    <row r="194" spans="1:19" x14ac:dyDescent="0.35">
      <c r="A194" s="1"/>
      <c r="B194" s="2"/>
      <c r="C194" s="2"/>
      <c r="D194" s="25" t="s">
        <v>226</v>
      </c>
      <c r="E194" s="3">
        <v>273.05</v>
      </c>
      <c r="F194" s="3">
        <v>168.28</v>
      </c>
      <c r="G194" s="4">
        <f t="shared" si="15"/>
        <v>254.51000000000002</v>
      </c>
      <c r="H194" s="4">
        <f t="shared" si="15"/>
        <v>154.06</v>
      </c>
      <c r="I194" s="4">
        <f t="shared" si="16"/>
        <v>247.65</v>
      </c>
      <c r="J194" s="4">
        <f t="shared" si="16"/>
        <v>146.34</v>
      </c>
      <c r="K194" s="5">
        <v>177.8</v>
      </c>
      <c r="L194" s="4">
        <f t="shared" si="14"/>
        <v>52.385000000000005</v>
      </c>
      <c r="M194" s="3">
        <v>9.27</v>
      </c>
      <c r="N194" s="3">
        <v>7.11</v>
      </c>
      <c r="O194" s="3">
        <v>12.7</v>
      </c>
      <c r="P194" s="3">
        <v>10.97</v>
      </c>
      <c r="Q194" s="4">
        <v>10.1</v>
      </c>
      <c r="R194" s="4">
        <v>13.5</v>
      </c>
      <c r="S194" s="8"/>
    </row>
    <row r="195" spans="1:19" x14ac:dyDescent="0.35">
      <c r="A195" s="1"/>
      <c r="B195" s="2"/>
      <c r="C195" s="2"/>
      <c r="D195" s="25" t="s">
        <v>227</v>
      </c>
      <c r="E195" s="3">
        <v>273.05</v>
      </c>
      <c r="F195" s="3">
        <v>219.08</v>
      </c>
      <c r="G195" s="4">
        <f t="shared" si="15"/>
        <v>254.51000000000002</v>
      </c>
      <c r="H195" s="4">
        <f t="shared" si="15"/>
        <v>202.72000000000003</v>
      </c>
      <c r="I195" s="4">
        <f t="shared" si="16"/>
        <v>247.65</v>
      </c>
      <c r="J195" s="4">
        <f t="shared" si="16"/>
        <v>193.68</v>
      </c>
      <c r="K195" s="5">
        <v>177.8</v>
      </c>
      <c r="L195" s="4">
        <f t="shared" si="14"/>
        <v>26.984999999999999</v>
      </c>
      <c r="M195" s="3">
        <v>9.27</v>
      </c>
      <c r="N195" s="3">
        <v>8.18</v>
      </c>
      <c r="O195" s="3">
        <v>12.7</v>
      </c>
      <c r="P195" s="3">
        <v>12.7</v>
      </c>
      <c r="Q195" s="4">
        <v>10.5</v>
      </c>
      <c r="R195" s="4">
        <v>14.2</v>
      </c>
      <c r="S195" s="8"/>
    </row>
    <row r="196" spans="1:19" x14ac:dyDescent="0.35">
      <c r="A196" s="1"/>
      <c r="B196" s="2"/>
      <c r="C196" s="2"/>
      <c r="D196" s="25" t="s">
        <v>228</v>
      </c>
      <c r="E196" s="3">
        <v>323.85000000000002</v>
      </c>
      <c r="F196" s="3">
        <v>168.28</v>
      </c>
      <c r="G196" s="4">
        <f t="shared" si="15"/>
        <v>304.79000000000002</v>
      </c>
      <c r="H196" s="4">
        <f t="shared" si="15"/>
        <v>154.06</v>
      </c>
      <c r="I196" s="4">
        <f t="shared" si="16"/>
        <v>298.45000000000005</v>
      </c>
      <c r="J196" s="4">
        <f t="shared" si="16"/>
        <v>146.34</v>
      </c>
      <c r="K196" s="5">
        <v>203.2</v>
      </c>
      <c r="L196" s="4">
        <f t="shared" si="14"/>
        <v>77.785000000000011</v>
      </c>
      <c r="M196" s="3">
        <v>9.5299999999999994</v>
      </c>
      <c r="N196" s="3">
        <v>7.11</v>
      </c>
      <c r="O196" s="3">
        <v>12.7</v>
      </c>
      <c r="P196" s="3">
        <v>10.97</v>
      </c>
      <c r="Q196" s="4">
        <v>14.1</v>
      </c>
      <c r="R196" s="4">
        <v>18.399999999999999</v>
      </c>
      <c r="S196" s="8"/>
    </row>
    <row r="197" spans="1:19" x14ac:dyDescent="0.35">
      <c r="A197" s="1"/>
      <c r="B197" s="2"/>
      <c r="C197" s="2"/>
      <c r="D197" s="25" t="s">
        <v>229</v>
      </c>
      <c r="E197" s="3">
        <v>323.85000000000002</v>
      </c>
      <c r="F197" s="3">
        <v>219.08</v>
      </c>
      <c r="G197" s="4">
        <f t="shared" si="15"/>
        <v>304.79000000000002</v>
      </c>
      <c r="H197" s="4">
        <f t="shared" si="15"/>
        <v>202.72000000000003</v>
      </c>
      <c r="I197" s="4">
        <f t="shared" si="16"/>
        <v>298.45000000000005</v>
      </c>
      <c r="J197" s="4">
        <f t="shared" si="16"/>
        <v>193.68</v>
      </c>
      <c r="K197" s="5">
        <v>203.2</v>
      </c>
      <c r="L197" s="4">
        <f t="shared" si="14"/>
        <v>52.385000000000005</v>
      </c>
      <c r="M197" s="3">
        <v>9.5299999999999994</v>
      </c>
      <c r="N197" s="3">
        <v>8.18</v>
      </c>
      <c r="O197" s="3">
        <v>12.7</v>
      </c>
      <c r="P197" s="3">
        <v>12.7</v>
      </c>
      <c r="Q197" s="4">
        <v>14.6</v>
      </c>
      <c r="R197" s="4">
        <v>17</v>
      </c>
      <c r="S197" s="8"/>
    </row>
    <row r="198" spans="1:19" x14ac:dyDescent="0.35">
      <c r="A198" s="1"/>
      <c r="B198" s="2"/>
      <c r="C198" s="2"/>
      <c r="D198" s="25" t="s">
        <v>230</v>
      </c>
      <c r="E198" s="3">
        <v>323.85000000000002</v>
      </c>
      <c r="F198" s="3">
        <v>273.05</v>
      </c>
      <c r="G198" s="4">
        <f t="shared" si="15"/>
        <v>304.79000000000002</v>
      </c>
      <c r="H198" s="4">
        <f t="shared" si="15"/>
        <v>254.51000000000002</v>
      </c>
      <c r="I198" s="4">
        <f t="shared" si="16"/>
        <v>298.45000000000005</v>
      </c>
      <c r="J198" s="4">
        <f t="shared" si="16"/>
        <v>247.65</v>
      </c>
      <c r="K198" s="5">
        <v>203.2</v>
      </c>
      <c r="L198" s="4">
        <f t="shared" si="14"/>
        <v>25.400000000000006</v>
      </c>
      <c r="M198" s="3">
        <v>9.5299999999999994</v>
      </c>
      <c r="N198" s="3">
        <v>9.27</v>
      </c>
      <c r="O198" s="3">
        <v>12.7</v>
      </c>
      <c r="P198" s="3">
        <v>12.7</v>
      </c>
      <c r="Q198" s="4">
        <v>15.2</v>
      </c>
      <c r="R198" s="4">
        <v>19.8</v>
      </c>
      <c r="S198" s="8"/>
    </row>
    <row r="199" spans="1:19" x14ac:dyDescent="0.35">
      <c r="A199" s="1"/>
      <c r="B199" s="2"/>
      <c r="C199" s="2"/>
      <c r="D199" s="25" t="s">
        <v>231</v>
      </c>
      <c r="E199" s="3">
        <v>355.6</v>
      </c>
      <c r="F199" s="3">
        <v>168.28</v>
      </c>
      <c r="G199" s="4">
        <f t="shared" si="15"/>
        <v>336.54</v>
      </c>
      <c r="H199" s="4">
        <f t="shared" si="15"/>
        <v>154.06</v>
      </c>
      <c r="I199" s="4">
        <f t="shared" si="16"/>
        <v>330.20000000000005</v>
      </c>
      <c r="J199" s="4">
        <f t="shared" si="16"/>
        <v>146.34</v>
      </c>
      <c r="K199" s="5">
        <v>330.2</v>
      </c>
      <c r="L199" s="4">
        <f t="shared" si="14"/>
        <v>93.660000000000011</v>
      </c>
      <c r="M199" s="3">
        <v>9.5299999999999994</v>
      </c>
      <c r="N199" s="3">
        <v>7.11</v>
      </c>
      <c r="O199" s="3">
        <v>12.7</v>
      </c>
      <c r="P199" s="3">
        <v>10.97</v>
      </c>
      <c r="Q199" s="4">
        <v>26</v>
      </c>
      <c r="R199" s="4">
        <v>33.700000000000003</v>
      </c>
      <c r="S199" s="8"/>
    </row>
    <row r="200" spans="1:19" x14ac:dyDescent="0.35">
      <c r="A200" s="1"/>
      <c r="B200" s="2"/>
      <c r="C200" s="2"/>
      <c r="D200" s="25" t="s">
        <v>232</v>
      </c>
      <c r="E200" s="3">
        <v>355.6</v>
      </c>
      <c r="F200" s="3">
        <v>219.08</v>
      </c>
      <c r="G200" s="4">
        <f t="shared" si="15"/>
        <v>336.54</v>
      </c>
      <c r="H200" s="4">
        <f t="shared" si="15"/>
        <v>202.72000000000003</v>
      </c>
      <c r="I200" s="4">
        <f t="shared" si="16"/>
        <v>330.20000000000005</v>
      </c>
      <c r="J200" s="4">
        <f t="shared" si="16"/>
        <v>193.68</v>
      </c>
      <c r="K200" s="5">
        <v>330.2</v>
      </c>
      <c r="L200" s="4">
        <f t="shared" si="14"/>
        <v>68.260000000000005</v>
      </c>
      <c r="M200" s="3">
        <v>9.5299999999999994</v>
      </c>
      <c r="N200" s="3">
        <v>8.18</v>
      </c>
      <c r="O200" s="3">
        <v>12.7</v>
      </c>
      <c r="P200" s="3">
        <v>12.7</v>
      </c>
      <c r="Q200" s="4">
        <v>27.4</v>
      </c>
      <c r="R200" s="4">
        <v>34.9</v>
      </c>
      <c r="S200" s="8"/>
    </row>
    <row r="201" spans="1:19" x14ac:dyDescent="0.35">
      <c r="A201" s="1"/>
      <c r="B201" s="2"/>
      <c r="C201" s="2"/>
      <c r="D201" s="25" t="s">
        <v>233</v>
      </c>
      <c r="E201" s="3">
        <v>355.6</v>
      </c>
      <c r="F201" s="3">
        <v>273.05</v>
      </c>
      <c r="G201" s="4">
        <f t="shared" si="15"/>
        <v>336.54</v>
      </c>
      <c r="H201" s="4">
        <f t="shared" si="15"/>
        <v>254.51000000000002</v>
      </c>
      <c r="I201" s="4">
        <f t="shared" si="16"/>
        <v>330.20000000000005</v>
      </c>
      <c r="J201" s="4">
        <f t="shared" si="16"/>
        <v>247.65</v>
      </c>
      <c r="K201" s="5">
        <v>330.2</v>
      </c>
      <c r="L201" s="4">
        <f t="shared" si="14"/>
        <v>41.275000000000006</v>
      </c>
      <c r="M201" s="3">
        <v>9.5299999999999994</v>
      </c>
      <c r="N201" s="3">
        <v>9.27</v>
      </c>
      <c r="O201" s="3">
        <v>12.7</v>
      </c>
      <c r="P201" s="3">
        <v>12.7</v>
      </c>
      <c r="Q201" s="4">
        <v>28.8</v>
      </c>
      <c r="R201" s="4">
        <v>36.1</v>
      </c>
      <c r="S201" s="8"/>
    </row>
    <row r="202" spans="1:19" x14ac:dyDescent="0.35">
      <c r="A202" s="1"/>
      <c r="B202" s="2"/>
      <c r="C202" s="2"/>
      <c r="D202" s="25" t="s">
        <v>234</v>
      </c>
      <c r="E202" s="3">
        <v>355.6</v>
      </c>
      <c r="F202" s="3">
        <v>323.85000000000002</v>
      </c>
      <c r="G202" s="4">
        <f t="shared" si="15"/>
        <v>336.54</v>
      </c>
      <c r="H202" s="4">
        <f t="shared" si="15"/>
        <v>304.79000000000002</v>
      </c>
      <c r="I202" s="4">
        <f t="shared" si="16"/>
        <v>330.20000000000005</v>
      </c>
      <c r="J202" s="4">
        <f t="shared" si="16"/>
        <v>298.45000000000005</v>
      </c>
      <c r="K202" s="5">
        <v>330.2</v>
      </c>
      <c r="L202" s="4">
        <f t="shared" si="14"/>
        <v>15.875</v>
      </c>
      <c r="M202" s="3">
        <v>9.5299999999999994</v>
      </c>
      <c r="N202" s="3">
        <v>9.5299999999999994</v>
      </c>
      <c r="O202" s="3">
        <v>12.7</v>
      </c>
      <c r="P202" s="3">
        <v>12.7</v>
      </c>
      <c r="Q202" s="4">
        <v>31.9</v>
      </c>
      <c r="R202" s="4">
        <v>37.700000000000003</v>
      </c>
      <c r="S202" s="8"/>
    </row>
    <row r="203" spans="1:19" x14ac:dyDescent="0.35">
      <c r="A203" s="1"/>
      <c r="B203" s="2"/>
      <c r="C203" s="2"/>
      <c r="D203" s="25" t="s">
        <v>235</v>
      </c>
      <c r="E203" s="3">
        <v>406.4</v>
      </c>
      <c r="F203" s="3">
        <v>219.08</v>
      </c>
      <c r="G203" s="4">
        <f t="shared" si="15"/>
        <v>387.34</v>
      </c>
      <c r="H203" s="4">
        <f t="shared" si="15"/>
        <v>202.72000000000003</v>
      </c>
      <c r="I203" s="4">
        <f t="shared" si="16"/>
        <v>381</v>
      </c>
      <c r="J203" s="4">
        <f t="shared" si="16"/>
        <v>193.68</v>
      </c>
      <c r="K203" s="5">
        <v>355.6</v>
      </c>
      <c r="L203" s="4">
        <f t="shared" si="14"/>
        <v>93.659999999999982</v>
      </c>
      <c r="M203" s="3">
        <v>9.5299999999999994</v>
      </c>
      <c r="N203" s="3">
        <v>8.18</v>
      </c>
      <c r="O203" s="3">
        <v>12.7</v>
      </c>
      <c r="P203" s="3">
        <v>12.7</v>
      </c>
      <c r="Q203" s="4">
        <v>33.1</v>
      </c>
      <c r="R203" s="4">
        <v>42.6</v>
      </c>
      <c r="S203" s="8"/>
    </row>
    <row r="204" spans="1:19" x14ac:dyDescent="0.35">
      <c r="A204" s="1"/>
      <c r="B204" s="2"/>
      <c r="C204" s="2"/>
      <c r="D204" s="25" t="s">
        <v>236</v>
      </c>
      <c r="E204" s="3">
        <v>406.4</v>
      </c>
      <c r="F204" s="3">
        <v>273.05</v>
      </c>
      <c r="G204" s="4">
        <f t="shared" si="15"/>
        <v>387.34</v>
      </c>
      <c r="H204" s="4">
        <f t="shared" si="15"/>
        <v>254.51000000000002</v>
      </c>
      <c r="I204" s="4">
        <f t="shared" si="16"/>
        <v>381</v>
      </c>
      <c r="J204" s="4">
        <f t="shared" si="16"/>
        <v>247.65</v>
      </c>
      <c r="K204" s="5">
        <v>355.6</v>
      </c>
      <c r="L204" s="4">
        <f t="shared" si="14"/>
        <v>66.674999999999983</v>
      </c>
      <c r="M204" s="3">
        <v>9.5299999999999994</v>
      </c>
      <c r="N204" s="3">
        <v>9.27</v>
      </c>
      <c r="O204" s="3">
        <v>12.7</v>
      </c>
      <c r="P204" s="3">
        <v>12.7</v>
      </c>
      <c r="Q204" s="4">
        <v>33.11</v>
      </c>
      <c r="R204" s="4">
        <v>43.7</v>
      </c>
      <c r="S204" s="8"/>
    </row>
    <row r="205" spans="1:19" x14ac:dyDescent="0.35">
      <c r="A205" s="1"/>
      <c r="B205" s="2"/>
      <c r="C205" s="2"/>
      <c r="D205" s="25" t="s">
        <v>237</v>
      </c>
      <c r="E205" s="3">
        <v>406.4</v>
      </c>
      <c r="F205" s="3">
        <v>323.85000000000002</v>
      </c>
      <c r="G205" s="4">
        <f t="shared" si="15"/>
        <v>387.34</v>
      </c>
      <c r="H205" s="4">
        <f t="shared" si="15"/>
        <v>304.79000000000002</v>
      </c>
      <c r="I205" s="4">
        <f t="shared" si="16"/>
        <v>381</v>
      </c>
      <c r="J205" s="4">
        <f t="shared" si="16"/>
        <v>298.45000000000005</v>
      </c>
      <c r="K205" s="5">
        <v>355.6</v>
      </c>
      <c r="L205" s="4">
        <f t="shared" si="14"/>
        <v>41.274999999999977</v>
      </c>
      <c r="M205" s="3">
        <v>9.5299999999999994</v>
      </c>
      <c r="N205" s="3">
        <v>9.5299999999999994</v>
      </c>
      <c r="O205" s="3">
        <v>12.7</v>
      </c>
      <c r="P205" s="3">
        <v>12.7</v>
      </c>
      <c r="Q205" s="4">
        <v>34.299999999999997</v>
      </c>
      <c r="R205" s="4">
        <v>45</v>
      </c>
      <c r="S205" s="8"/>
    </row>
    <row r="206" spans="1:19" x14ac:dyDescent="0.35">
      <c r="A206" s="1"/>
      <c r="B206" s="2"/>
      <c r="C206" s="2"/>
      <c r="D206" s="25" t="s">
        <v>238</v>
      </c>
      <c r="E206" s="3">
        <v>406.4</v>
      </c>
      <c r="F206" s="3">
        <v>355.6</v>
      </c>
      <c r="G206" s="4">
        <f t="shared" si="15"/>
        <v>387.34</v>
      </c>
      <c r="H206" s="4">
        <f t="shared" si="15"/>
        <v>336.54</v>
      </c>
      <c r="I206" s="4">
        <f t="shared" si="16"/>
        <v>381</v>
      </c>
      <c r="J206" s="4">
        <f t="shared" si="16"/>
        <v>330.20000000000005</v>
      </c>
      <c r="K206" s="5">
        <v>355.6</v>
      </c>
      <c r="L206" s="4">
        <f t="shared" si="14"/>
        <v>25.399999999999977</v>
      </c>
      <c r="M206" s="3">
        <v>9.5299999999999994</v>
      </c>
      <c r="N206" s="3">
        <v>9.5299999999999994</v>
      </c>
      <c r="O206" s="3">
        <v>12.7</v>
      </c>
      <c r="P206" s="3">
        <v>12.7</v>
      </c>
      <c r="Q206" s="4">
        <v>36.200000000000003</v>
      </c>
      <c r="R206" s="4">
        <v>46.3</v>
      </c>
      <c r="S206" s="8"/>
    </row>
    <row r="207" spans="1:19" x14ac:dyDescent="0.35">
      <c r="A207" s="1"/>
      <c r="B207" s="2"/>
      <c r="C207" s="2"/>
      <c r="D207" s="25" t="s">
        <v>239</v>
      </c>
      <c r="E207" s="3">
        <v>457.2</v>
      </c>
      <c r="F207" s="3">
        <v>273.05</v>
      </c>
      <c r="G207" s="4">
        <f t="shared" ref="G207:H238" si="17">E207-2*M207</f>
        <v>438.14</v>
      </c>
      <c r="H207" s="4">
        <f t="shared" si="17"/>
        <v>254.51000000000002</v>
      </c>
      <c r="I207" s="4">
        <f t="shared" ref="I207:J238" si="18">E207-2*O207</f>
        <v>431.8</v>
      </c>
      <c r="J207" s="4">
        <f t="shared" si="18"/>
        <v>247.65</v>
      </c>
      <c r="K207" s="5">
        <v>381</v>
      </c>
      <c r="L207" s="4">
        <f t="shared" ref="L207:L270" si="19">E207/2-F207/2</f>
        <v>92.074999999999989</v>
      </c>
      <c r="M207" s="3">
        <v>9.5299999999999994</v>
      </c>
      <c r="N207" s="3">
        <v>9.27</v>
      </c>
      <c r="O207" s="3">
        <v>12.7</v>
      </c>
      <c r="P207" s="3">
        <v>12.7</v>
      </c>
      <c r="Q207" s="4">
        <v>39.4</v>
      </c>
      <c r="R207" s="4">
        <v>51.8</v>
      </c>
      <c r="S207" s="8"/>
    </row>
    <row r="208" spans="1:19" x14ac:dyDescent="0.35">
      <c r="A208" s="1"/>
      <c r="B208" s="2"/>
      <c r="C208" s="2"/>
      <c r="D208" s="25" t="s">
        <v>240</v>
      </c>
      <c r="E208" s="3">
        <v>457.2</v>
      </c>
      <c r="F208" s="3">
        <v>323.85000000000002</v>
      </c>
      <c r="G208" s="4">
        <f t="shared" si="17"/>
        <v>438.14</v>
      </c>
      <c r="H208" s="4">
        <f t="shared" si="17"/>
        <v>304.79000000000002</v>
      </c>
      <c r="I208" s="4">
        <f t="shared" si="18"/>
        <v>431.8</v>
      </c>
      <c r="J208" s="4">
        <f t="shared" si="18"/>
        <v>298.45000000000005</v>
      </c>
      <c r="K208" s="5">
        <v>381</v>
      </c>
      <c r="L208" s="4">
        <f t="shared" si="19"/>
        <v>66.674999999999983</v>
      </c>
      <c r="M208" s="3">
        <v>9.5299999999999994</v>
      </c>
      <c r="N208" s="3">
        <v>9.5299999999999994</v>
      </c>
      <c r="O208" s="3">
        <v>12.7</v>
      </c>
      <c r="P208" s="3">
        <v>12.7</v>
      </c>
      <c r="Q208" s="4">
        <v>40.5</v>
      </c>
      <c r="R208" s="4">
        <v>53.6</v>
      </c>
      <c r="S208" s="8"/>
    </row>
    <row r="209" spans="1:19" x14ac:dyDescent="0.35">
      <c r="A209" s="1"/>
      <c r="B209" s="2"/>
      <c r="C209" s="2"/>
      <c r="D209" s="25" t="s">
        <v>241</v>
      </c>
      <c r="E209" s="3">
        <v>457.2</v>
      </c>
      <c r="F209" s="3">
        <v>355.6</v>
      </c>
      <c r="G209" s="4">
        <f t="shared" si="17"/>
        <v>438.14</v>
      </c>
      <c r="H209" s="4">
        <f t="shared" si="17"/>
        <v>336.54</v>
      </c>
      <c r="I209" s="4">
        <f t="shared" si="18"/>
        <v>431.8</v>
      </c>
      <c r="J209" s="4">
        <f t="shared" si="18"/>
        <v>330.20000000000005</v>
      </c>
      <c r="K209" s="5">
        <v>381</v>
      </c>
      <c r="L209" s="4">
        <f t="shared" si="19"/>
        <v>50.799999999999983</v>
      </c>
      <c r="M209" s="3">
        <v>9.5299999999999994</v>
      </c>
      <c r="N209" s="3">
        <v>9.5299999999999994</v>
      </c>
      <c r="O209" s="3">
        <v>12.7</v>
      </c>
      <c r="P209" s="3">
        <v>12.7</v>
      </c>
      <c r="Q209" s="4">
        <v>41.3</v>
      </c>
      <c r="R209" s="4">
        <v>54.5</v>
      </c>
      <c r="S209" s="8"/>
    </row>
    <row r="210" spans="1:19" x14ac:dyDescent="0.35">
      <c r="A210" s="1"/>
      <c r="B210" s="2"/>
      <c r="C210" s="2"/>
      <c r="D210" s="25" t="s">
        <v>242</v>
      </c>
      <c r="E210" s="3">
        <v>457.2</v>
      </c>
      <c r="F210" s="3">
        <v>406.4</v>
      </c>
      <c r="G210" s="4">
        <f t="shared" si="17"/>
        <v>438.14</v>
      </c>
      <c r="H210" s="4">
        <f t="shared" si="17"/>
        <v>387.34</v>
      </c>
      <c r="I210" s="4">
        <f t="shared" si="18"/>
        <v>431.8</v>
      </c>
      <c r="J210" s="4">
        <f t="shared" si="18"/>
        <v>381</v>
      </c>
      <c r="K210" s="5">
        <v>381</v>
      </c>
      <c r="L210" s="4">
        <f t="shared" si="19"/>
        <v>25.400000000000006</v>
      </c>
      <c r="M210" s="3">
        <v>9.5299999999999994</v>
      </c>
      <c r="N210" s="3">
        <v>9.5299999999999994</v>
      </c>
      <c r="O210" s="3">
        <v>12.7</v>
      </c>
      <c r="P210" s="3">
        <v>12.7</v>
      </c>
      <c r="Q210" s="4">
        <v>42.7</v>
      </c>
      <c r="R210" s="4">
        <v>55.8</v>
      </c>
      <c r="S210" s="8"/>
    </row>
    <row r="211" spans="1:19" x14ac:dyDescent="0.35">
      <c r="A211" s="1"/>
      <c r="B211" s="2"/>
      <c r="C211" s="2"/>
      <c r="D211" s="25" t="s">
        <v>243</v>
      </c>
      <c r="E211" s="3">
        <v>508</v>
      </c>
      <c r="F211" s="3">
        <v>323.85000000000002</v>
      </c>
      <c r="G211" s="4">
        <f t="shared" si="17"/>
        <v>488.94</v>
      </c>
      <c r="H211" s="4">
        <f t="shared" si="17"/>
        <v>304.79000000000002</v>
      </c>
      <c r="I211" s="4">
        <f t="shared" si="18"/>
        <v>482.6</v>
      </c>
      <c r="J211" s="4">
        <f t="shared" si="18"/>
        <v>298.45000000000005</v>
      </c>
      <c r="K211" s="5">
        <v>508</v>
      </c>
      <c r="L211" s="4">
        <f t="shared" si="19"/>
        <v>92.074999999999989</v>
      </c>
      <c r="M211" s="3">
        <v>9.5299999999999994</v>
      </c>
      <c r="N211" s="3">
        <v>9.5299999999999994</v>
      </c>
      <c r="O211" s="3">
        <v>12.7</v>
      </c>
      <c r="P211" s="3">
        <v>12.7</v>
      </c>
      <c r="Q211" s="4">
        <v>60.8</v>
      </c>
      <c r="R211" s="4">
        <v>79.900000000000006</v>
      </c>
      <c r="S211" s="8"/>
    </row>
    <row r="212" spans="1:19" x14ac:dyDescent="0.35">
      <c r="A212" s="1"/>
      <c r="B212" s="2"/>
      <c r="C212" s="2"/>
      <c r="D212" s="25" t="s">
        <v>244</v>
      </c>
      <c r="E212" s="3">
        <v>508</v>
      </c>
      <c r="F212" s="3">
        <v>355.6</v>
      </c>
      <c r="G212" s="4">
        <f t="shared" si="17"/>
        <v>488.94</v>
      </c>
      <c r="H212" s="4">
        <f t="shared" si="17"/>
        <v>336.54</v>
      </c>
      <c r="I212" s="4">
        <f t="shared" si="18"/>
        <v>482.6</v>
      </c>
      <c r="J212" s="4">
        <f t="shared" si="18"/>
        <v>330.20000000000005</v>
      </c>
      <c r="K212" s="5">
        <v>508</v>
      </c>
      <c r="L212" s="4">
        <f t="shared" si="19"/>
        <v>76.199999999999989</v>
      </c>
      <c r="M212" s="3">
        <v>9.5299999999999994</v>
      </c>
      <c r="N212" s="3">
        <v>9.5299999999999994</v>
      </c>
      <c r="O212" s="3">
        <v>12.7</v>
      </c>
      <c r="P212" s="3">
        <v>12.7</v>
      </c>
      <c r="Q212" s="4">
        <v>61.3</v>
      </c>
      <c r="R212" s="4">
        <v>81.3</v>
      </c>
      <c r="S212" s="8"/>
    </row>
    <row r="213" spans="1:19" x14ac:dyDescent="0.35">
      <c r="A213" s="1"/>
      <c r="B213" s="2"/>
      <c r="C213" s="2"/>
      <c r="D213" s="25" t="s">
        <v>245</v>
      </c>
      <c r="E213" s="3">
        <v>508</v>
      </c>
      <c r="F213" s="3">
        <v>406.4</v>
      </c>
      <c r="G213" s="4">
        <f t="shared" si="17"/>
        <v>488.94</v>
      </c>
      <c r="H213" s="4">
        <f t="shared" si="17"/>
        <v>387.34</v>
      </c>
      <c r="I213" s="4">
        <f t="shared" si="18"/>
        <v>482.6</v>
      </c>
      <c r="J213" s="4">
        <f t="shared" si="18"/>
        <v>381</v>
      </c>
      <c r="K213" s="5">
        <v>508</v>
      </c>
      <c r="L213" s="4">
        <f t="shared" si="19"/>
        <v>50.800000000000011</v>
      </c>
      <c r="M213" s="3">
        <v>9.5299999999999994</v>
      </c>
      <c r="N213" s="3">
        <v>9.5299999999999994</v>
      </c>
      <c r="O213" s="3">
        <v>12.7</v>
      </c>
      <c r="P213" s="3">
        <v>12.7</v>
      </c>
      <c r="Q213" s="4">
        <v>62.6</v>
      </c>
      <c r="R213" s="4">
        <v>82.6</v>
      </c>
      <c r="S213" s="8"/>
    </row>
    <row r="214" spans="1:19" x14ac:dyDescent="0.35">
      <c r="A214" s="1"/>
      <c r="B214" s="2"/>
      <c r="C214" s="2"/>
      <c r="D214" s="25" t="s">
        <v>246</v>
      </c>
      <c r="E214" s="3">
        <v>508</v>
      </c>
      <c r="F214" s="3">
        <v>457.2</v>
      </c>
      <c r="G214" s="4">
        <f t="shared" si="17"/>
        <v>488.94</v>
      </c>
      <c r="H214" s="4">
        <f t="shared" si="17"/>
        <v>438.14</v>
      </c>
      <c r="I214" s="4">
        <f t="shared" si="18"/>
        <v>482.6</v>
      </c>
      <c r="J214" s="4">
        <f t="shared" si="18"/>
        <v>431.8</v>
      </c>
      <c r="K214" s="5">
        <v>508</v>
      </c>
      <c r="L214" s="4">
        <f t="shared" si="19"/>
        <v>25.400000000000006</v>
      </c>
      <c r="M214" s="3">
        <v>9.5299999999999994</v>
      </c>
      <c r="N214" s="3">
        <v>9.5299999999999994</v>
      </c>
      <c r="O214" s="3">
        <v>12.7</v>
      </c>
      <c r="P214" s="3">
        <v>12.7</v>
      </c>
      <c r="Q214" s="4">
        <v>64.5</v>
      </c>
      <c r="R214" s="4">
        <v>84.4</v>
      </c>
      <c r="S214" s="8"/>
    </row>
    <row r="215" spans="1:19" x14ac:dyDescent="0.35">
      <c r="A215" s="1"/>
      <c r="B215" s="2"/>
      <c r="C215" s="2"/>
      <c r="D215" s="25" t="s">
        <v>247</v>
      </c>
      <c r="E215" s="3">
        <v>558.79999999999995</v>
      </c>
      <c r="F215" s="3">
        <v>355.6</v>
      </c>
      <c r="G215" s="4">
        <f t="shared" si="17"/>
        <v>539.74</v>
      </c>
      <c r="H215" s="4">
        <f t="shared" si="17"/>
        <v>336.54</v>
      </c>
      <c r="I215" s="4">
        <f t="shared" si="18"/>
        <v>533.4</v>
      </c>
      <c r="J215" s="4">
        <f t="shared" si="18"/>
        <v>330.20000000000005</v>
      </c>
      <c r="K215" s="5">
        <v>508</v>
      </c>
      <c r="L215" s="4">
        <f t="shared" si="19"/>
        <v>101.59999999999997</v>
      </c>
      <c r="M215" s="3">
        <v>9.5299999999999994</v>
      </c>
      <c r="N215" s="3">
        <v>9.5299999999999994</v>
      </c>
      <c r="O215" s="3">
        <v>12.7</v>
      </c>
      <c r="P215" s="3">
        <v>12.7</v>
      </c>
      <c r="Q215" s="4">
        <v>67.2</v>
      </c>
      <c r="R215" s="4">
        <v>88.5</v>
      </c>
      <c r="S215" s="8"/>
    </row>
    <row r="216" spans="1:19" x14ac:dyDescent="0.35">
      <c r="A216" s="1"/>
      <c r="B216" s="2"/>
      <c r="C216" s="2"/>
      <c r="D216" s="25" t="s">
        <v>248</v>
      </c>
      <c r="E216" s="3">
        <v>558.79999999999995</v>
      </c>
      <c r="F216" s="3">
        <v>406.4</v>
      </c>
      <c r="G216" s="4">
        <f t="shared" si="17"/>
        <v>539.74</v>
      </c>
      <c r="H216" s="4">
        <f t="shared" si="17"/>
        <v>387.34</v>
      </c>
      <c r="I216" s="4">
        <f t="shared" si="18"/>
        <v>533.4</v>
      </c>
      <c r="J216" s="4">
        <f t="shared" si="18"/>
        <v>381</v>
      </c>
      <c r="K216" s="5">
        <v>508</v>
      </c>
      <c r="L216" s="4">
        <f t="shared" si="19"/>
        <v>76.199999999999989</v>
      </c>
      <c r="M216" s="3">
        <v>9.5299999999999994</v>
      </c>
      <c r="N216" s="3">
        <v>9.5299999999999994</v>
      </c>
      <c r="O216" s="3">
        <v>12.7</v>
      </c>
      <c r="P216" s="3">
        <v>12.7</v>
      </c>
      <c r="Q216" s="4">
        <v>68.5</v>
      </c>
      <c r="R216" s="4">
        <v>89.9</v>
      </c>
      <c r="S216" s="8"/>
    </row>
    <row r="217" spans="1:19" x14ac:dyDescent="0.35">
      <c r="A217" s="1"/>
      <c r="B217" s="2"/>
      <c r="C217" s="2"/>
      <c r="D217" s="25" t="s">
        <v>249</v>
      </c>
      <c r="E217" s="3">
        <v>558.79999999999995</v>
      </c>
      <c r="F217" s="3">
        <v>457.2</v>
      </c>
      <c r="G217" s="4">
        <f t="shared" si="17"/>
        <v>539.74</v>
      </c>
      <c r="H217" s="4">
        <f t="shared" si="17"/>
        <v>438.14</v>
      </c>
      <c r="I217" s="4">
        <f t="shared" si="18"/>
        <v>533.4</v>
      </c>
      <c r="J217" s="4">
        <f t="shared" si="18"/>
        <v>431.8</v>
      </c>
      <c r="K217" s="5">
        <v>508</v>
      </c>
      <c r="L217" s="4">
        <f t="shared" si="19"/>
        <v>50.799999999999983</v>
      </c>
      <c r="M217" s="3">
        <v>9.5299999999999994</v>
      </c>
      <c r="N217" s="3">
        <v>9.5299999999999994</v>
      </c>
      <c r="O217" s="3">
        <v>12.7</v>
      </c>
      <c r="P217" s="3">
        <v>12.7</v>
      </c>
      <c r="Q217" s="4">
        <v>69.900000000000006</v>
      </c>
      <c r="R217" s="4">
        <v>91.7</v>
      </c>
      <c r="S217" s="8"/>
    </row>
    <row r="218" spans="1:19" x14ac:dyDescent="0.35">
      <c r="A218" s="1"/>
      <c r="B218" s="2"/>
      <c r="C218" s="2"/>
      <c r="D218" s="25" t="s">
        <v>250</v>
      </c>
      <c r="E218" s="3">
        <v>558.79999999999995</v>
      </c>
      <c r="F218" s="3">
        <v>508</v>
      </c>
      <c r="G218" s="4">
        <f t="shared" si="17"/>
        <v>539.74</v>
      </c>
      <c r="H218" s="4">
        <f t="shared" si="17"/>
        <v>488.94</v>
      </c>
      <c r="I218" s="4">
        <f t="shared" si="18"/>
        <v>533.4</v>
      </c>
      <c r="J218" s="4">
        <f t="shared" si="18"/>
        <v>482.6</v>
      </c>
      <c r="K218" s="5">
        <v>508</v>
      </c>
      <c r="L218" s="4">
        <f t="shared" si="19"/>
        <v>25.399999999999977</v>
      </c>
      <c r="M218" s="3">
        <v>9.5299999999999994</v>
      </c>
      <c r="N218" s="3">
        <v>9.5299999999999994</v>
      </c>
      <c r="O218" s="3">
        <v>12.7</v>
      </c>
      <c r="P218" s="3">
        <v>12.7</v>
      </c>
      <c r="Q218" s="4">
        <v>71.3</v>
      </c>
      <c r="R218" s="4">
        <v>94</v>
      </c>
      <c r="S218" s="8"/>
    </row>
    <row r="219" spans="1:19" x14ac:dyDescent="0.35">
      <c r="A219" s="1"/>
      <c r="B219" s="2"/>
      <c r="C219" s="2"/>
      <c r="D219" s="25" t="s">
        <v>251</v>
      </c>
      <c r="E219" s="3">
        <v>609.6</v>
      </c>
      <c r="F219" s="3">
        <v>406.4</v>
      </c>
      <c r="G219" s="4">
        <f t="shared" si="17"/>
        <v>590.54000000000008</v>
      </c>
      <c r="H219" s="4">
        <f t="shared" si="17"/>
        <v>387.34</v>
      </c>
      <c r="I219" s="4">
        <f t="shared" si="18"/>
        <v>584.20000000000005</v>
      </c>
      <c r="J219" s="4">
        <f t="shared" si="18"/>
        <v>381</v>
      </c>
      <c r="K219" s="5">
        <v>508</v>
      </c>
      <c r="L219" s="4">
        <f t="shared" si="19"/>
        <v>101.60000000000002</v>
      </c>
      <c r="M219" s="3">
        <v>9.5299999999999994</v>
      </c>
      <c r="N219" s="3">
        <v>9.5299999999999994</v>
      </c>
      <c r="O219" s="3">
        <v>12.7</v>
      </c>
      <c r="P219" s="3">
        <v>12.7</v>
      </c>
      <c r="Q219" s="4">
        <v>72.599999999999994</v>
      </c>
      <c r="R219" s="4">
        <v>95.8</v>
      </c>
      <c r="S219" s="8"/>
    </row>
    <row r="220" spans="1:19" x14ac:dyDescent="0.35">
      <c r="A220" s="1"/>
      <c r="B220" s="2"/>
      <c r="C220" s="2"/>
      <c r="D220" s="25" t="s">
        <v>252</v>
      </c>
      <c r="E220" s="3">
        <v>609.6</v>
      </c>
      <c r="F220" s="3">
        <v>457.2</v>
      </c>
      <c r="G220" s="4">
        <f t="shared" si="17"/>
        <v>590.54000000000008</v>
      </c>
      <c r="H220" s="4">
        <f t="shared" si="17"/>
        <v>438.14</v>
      </c>
      <c r="I220" s="4">
        <f t="shared" si="18"/>
        <v>584.20000000000005</v>
      </c>
      <c r="J220" s="4">
        <f t="shared" si="18"/>
        <v>431.8</v>
      </c>
      <c r="K220" s="5">
        <v>508</v>
      </c>
      <c r="L220" s="4">
        <f t="shared" si="19"/>
        <v>76.200000000000017</v>
      </c>
      <c r="M220" s="3">
        <v>9.5299999999999994</v>
      </c>
      <c r="N220" s="3">
        <v>9.5299999999999994</v>
      </c>
      <c r="O220" s="3">
        <v>12.7</v>
      </c>
      <c r="P220" s="3">
        <v>12.7</v>
      </c>
      <c r="Q220" s="4">
        <v>74</v>
      </c>
      <c r="R220" s="4">
        <v>97.6</v>
      </c>
      <c r="S220" s="8"/>
    </row>
    <row r="221" spans="1:19" x14ac:dyDescent="0.35">
      <c r="A221" s="1"/>
      <c r="B221" s="2"/>
      <c r="C221" s="2"/>
      <c r="D221" s="25" t="s">
        <v>253</v>
      </c>
      <c r="E221" s="3">
        <v>609.6</v>
      </c>
      <c r="F221" s="3">
        <v>508</v>
      </c>
      <c r="G221" s="4">
        <f t="shared" si="17"/>
        <v>590.54000000000008</v>
      </c>
      <c r="H221" s="4">
        <f t="shared" si="17"/>
        <v>488.94</v>
      </c>
      <c r="I221" s="4">
        <f t="shared" si="18"/>
        <v>584.20000000000005</v>
      </c>
      <c r="J221" s="4">
        <f t="shared" si="18"/>
        <v>482.6</v>
      </c>
      <c r="K221" s="5">
        <v>508</v>
      </c>
      <c r="L221" s="4">
        <f t="shared" si="19"/>
        <v>50.800000000000011</v>
      </c>
      <c r="M221" s="3">
        <v>9.5299999999999994</v>
      </c>
      <c r="N221" s="3">
        <v>9.5299999999999994</v>
      </c>
      <c r="O221" s="3">
        <v>12.7</v>
      </c>
      <c r="P221" s="3">
        <v>12.7</v>
      </c>
      <c r="Q221" s="4">
        <v>75.8</v>
      </c>
      <c r="R221" s="4">
        <v>99.9</v>
      </c>
      <c r="S221" s="8"/>
    </row>
    <row r="222" spans="1:19" x14ac:dyDescent="0.35">
      <c r="A222" s="1"/>
      <c r="B222" s="2"/>
      <c r="C222" s="2"/>
      <c r="D222" s="25" t="s">
        <v>254</v>
      </c>
      <c r="E222" s="4">
        <v>660.4</v>
      </c>
      <c r="F222" s="3">
        <v>457.2</v>
      </c>
      <c r="G222" s="4">
        <f t="shared" si="17"/>
        <v>641.34</v>
      </c>
      <c r="H222" s="4">
        <f t="shared" si="17"/>
        <v>438.14</v>
      </c>
      <c r="I222" s="4">
        <f t="shared" si="18"/>
        <v>635</v>
      </c>
      <c r="J222" s="4">
        <f t="shared" si="18"/>
        <v>431.8</v>
      </c>
      <c r="K222" s="5">
        <v>609.6</v>
      </c>
      <c r="L222" s="4">
        <f t="shared" si="19"/>
        <v>101.6</v>
      </c>
      <c r="M222" s="3">
        <v>9.5299999999999994</v>
      </c>
      <c r="N222" s="3">
        <v>9.5299999999999994</v>
      </c>
      <c r="O222" s="3">
        <v>12.7</v>
      </c>
      <c r="P222" s="3">
        <v>12.7</v>
      </c>
      <c r="Q222" s="4">
        <v>90.7</v>
      </c>
      <c r="R222" s="4">
        <v>123</v>
      </c>
      <c r="S222" s="8"/>
    </row>
    <row r="223" spans="1:19" x14ac:dyDescent="0.35">
      <c r="A223" s="1"/>
      <c r="B223" s="2"/>
      <c r="C223" s="2"/>
      <c r="D223" s="25" t="s">
        <v>255</v>
      </c>
      <c r="E223" s="4">
        <v>660.4</v>
      </c>
      <c r="F223" s="3">
        <v>508</v>
      </c>
      <c r="G223" s="4">
        <f t="shared" si="17"/>
        <v>641.34</v>
      </c>
      <c r="H223" s="4">
        <f t="shared" si="17"/>
        <v>488.94</v>
      </c>
      <c r="I223" s="4">
        <f t="shared" si="18"/>
        <v>635</v>
      </c>
      <c r="J223" s="4">
        <f t="shared" si="18"/>
        <v>482.6</v>
      </c>
      <c r="K223" s="5">
        <v>609.6</v>
      </c>
      <c r="L223" s="4">
        <f t="shared" si="19"/>
        <v>76.199999999999989</v>
      </c>
      <c r="M223" s="3">
        <v>9.5299999999999994</v>
      </c>
      <c r="N223" s="3">
        <v>9.5299999999999994</v>
      </c>
      <c r="O223" s="3">
        <v>12.7</v>
      </c>
      <c r="P223" s="3">
        <v>12.7</v>
      </c>
      <c r="Q223" s="4">
        <v>90.7</v>
      </c>
      <c r="R223" s="4">
        <v>123</v>
      </c>
      <c r="S223" s="8"/>
    </row>
    <row r="224" spans="1:19" x14ac:dyDescent="0.35">
      <c r="A224" s="1"/>
      <c r="B224" s="2"/>
      <c r="C224" s="2"/>
      <c r="D224" s="25" t="s">
        <v>256</v>
      </c>
      <c r="E224" s="4">
        <v>660.4</v>
      </c>
      <c r="F224" s="3">
        <v>558.79999999999995</v>
      </c>
      <c r="G224" s="4">
        <f t="shared" si="17"/>
        <v>641.34</v>
      </c>
      <c r="H224" s="4">
        <f t="shared" si="17"/>
        <v>539.74</v>
      </c>
      <c r="I224" s="4">
        <f t="shared" si="18"/>
        <v>635</v>
      </c>
      <c r="J224" s="4">
        <f t="shared" si="18"/>
        <v>533.4</v>
      </c>
      <c r="K224" s="5">
        <v>609.6</v>
      </c>
      <c r="L224" s="4">
        <f t="shared" si="19"/>
        <v>50.800000000000011</v>
      </c>
      <c r="M224" s="3">
        <v>9.5299999999999994</v>
      </c>
      <c r="N224" s="3">
        <v>9.5299999999999994</v>
      </c>
      <c r="O224" s="3">
        <v>12.7</v>
      </c>
      <c r="P224" s="3">
        <v>12.7</v>
      </c>
      <c r="Q224" s="4">
        <v>90.7</v>
      </c>
      <c r="R224" s="4">
        <v>123</v>
      </c>
      <c r="S224" s="8"/>
    </row>
    <row r="225" spans="1:19" x14ac:dyDescent="0.35">
      <c r="A225" s="1"/>
      <c r="B225" s="2"/>
      <c r="C225" s="2"/>
      <c r="D225" s="25" t="s">
        <v>257</v>
      </c>
      <c r="E225" s="4">
        <v>660.4</v>
      </c>
      <c r="F225" s="3">
        <v>609.6</v>
      </c>
      <c r="G225" s="4">
        <f t="shared" si="17"/>
        <v>641.34</v>
      </c>
      <c r="H225" s="4">
        <f t="shared" si="17"/>
        <v>590.54000000000008</v>
      </c>
      <c r="I225" s="4">
        <f t="shared" si="18"/>
        <v>635</v>
      </c>
      <c r="J225" s="4">
        <f t="shared" si="18"/>
        <v>584.20000000000005</v>
      </c>
      <c r="K225" s="5">
        <v>609.6</v>
      </c>
      <c r="L225" s="4">
        <f t="shared" si="19"/>
        <v>25.399999999999977</v>
      </c>
      <c r="M225" s="3">
        <v>9.5299999999999994</v>
      </c>
      <c r="N225" s="3">
        <v>9.5299999999999994</v>
      </c>
      <c r="O225" s="3">
        <v>12.7</v>
      </c>
      <c r="P225" s="3">
        <v>12.7</v>
      </c>
      <c r="Q225" s="4">
        <v>90.7</v>
      </c>
      <c r="R225" s="4">
        <v>123</v>
      </c>
      <c r="S225" s="8"/>
    </row>
    <row r="226" spans="1:19" x14ac:dyDescent="0.35">
      <c r="A226" s="1"/>
      <c r="B226" s="2"/>
      <c r="C226" s="2"/>
      <c r="D226" s="25" t="s">
        <v>258</v>
      </c>
      <c r="E226" s="4">
        <v>711.2</v>
      </c>
      <c r="F226" s="3">
        <v>457.2</v>
      </c>
      <c r="G226" s="4">
        <f t="shared" si="17"/>
        <v>692.1400000000001</v>
      </c>
      <c r="H226" s="4">
        <f t="shared" si="17"/>
        <v>438.14</v>
      </c>
      <c r="I226" s="4">
        <f t="shared" si="18"/>
        <v>685.80000000000007</v>
      </c>
      <c r="J226" s="4">
        <f t="shared" si="18"/>
        <v>431.8</v>
      </c>
      <c r="K226" s="5">
        <v>609.6</v>
      </c>
      <c r="L226" s="4">
        <f t="shared" si="19"/>
        <v>127.00000000000003</v>
      </c>
      <c r="M226" s="3">
        <v>9.5299999999999994</v>
      </c>
      <c r="N226" s="3">
        <v>9.5299999999999994</v>
      </c>
      <c r="O226" s="3">
        <v>12.7</v>
      </c>
      <c r="P226" s="3">
        <v>12.7</v>
      </c>
      <c r="Q226" s="4">
        <v>95.3</v>
      </c>
      <c r="R226" s="4">
        <v>132</v>
      </c>
      <c r="S226" s="8"/>
    </row>
    <row r="227" spans="1:19" x14ac:dyDescent="0.35">
      <c r="A227" s="1"/>
      <c r="B227" s="2"/>
      <c r="C227" s="2"/>
      <c r="D227" s="25" t="s">
        <v>259</v>
      </c>
      <c r="E227" s="4">
        <v>711.2</v>
      </c>
      <c r="F227" s="3">
        <v>508</v>
      </c>
      <c r="G227" s="4">
        <f t="shared" si="17"/>
        <v>692.1400000000001</v>
      </c>
      <c r="H227" s="4">
        <f t="shared" si="17"/>
        <v>488.94</v>
      </c>
      <c r="I227" s="4">
        <f t="shared" si="18"/>
        <v>685.80000000000007</v>
      </c>
      <c r="J227" s="4">
        <f t="shared" si="18"/>
        <v>482.6</v>
      </c>
      <c r="K227" s="5">
        <v>609.6</v>
      </c>
      <c r="L227" s="4">
        <f t="shared" si="19"/>
        <v>101.60000000000002</v>
      </c>
      <c r="M227" s="3">
        <v>9.5299999999999994</v>
      </c>
      <c r="N227" s="3">
        <v>9.5299999999999994</v>
      </c>
      <c r="O227" s="3">
        <v>12.7</v>
      </c>
      <c r="P227" s="3">
        <v>12.7</v>
      </c>
      <c r="Q227" s="4">
        <v>95.3</v>
      </c>
      <c r="R227" s="4">
        <v>132</v>
      </c>
      <c r="S227" s="8"/>
    </row>
    <row r="228" spans="1:19" x14ac:dyDescent="0.35">
      <c r="A228" s="1"/>
      <c r="B228" s="2"/>
      <c r="C228" s="2"/>
      <c r="D228" s="25" t="s">
        <v>260</v>
      </c>
      <c r="E228" s="4">
        <v>711.2</v>
      </c>
      <c r="F228" s="3">
        <v>609.6</v>
      </c>
      <c r="G228" s="4">
        <f t="shared" si="17"/>
        <v>692.1400000000001</v>
      </c>
      <c r="H228" s="4">
        <f t="shared" si="17"/>
        <v>590.54000000000008</v>
      </c>
      <c r="I228" s="4">
        <f t="shared" si="18"/>
        <v>685.80000000000007</v>
      </c>
      <c r="J228" s="4">
        <f t="shared" si="18"/>
        <v>584.20000000000005</v>
      </c>
      <c r="K228" s="5">
        <v>609.6</v>
      </c>
      <c r="L228" s="4">
        <f t="shared" si="19"/>
        <v>50.800000000000011</v>
      </c>
      <c r="M228" s="3">
        <v>9.5299999999999994</v>
      </c>
      <c r="N228" s="3">
        <v>9.5299999999999994</v>
      </c>
      <c r="O228" s="3">
        <v>12.7</v>
      </c>
      <c r="P228" s="3">
        <v>12.7</v>
      </c>
      <c r="Q228" s="4">
        <v>95.3</v>
      </c>
      <c r="R228" s="4">
        <v>132</v>
      </c>
      <c r="S228" s="8"/>
    </row>
    <row r="229" spans="1:19" x14ac:dyDescent="0.35">
      <c r="A229" s="1"/>
      <c r="B229" s="2"/>
      <c r="C229" s="2"/>
      <c r="D229" s="25" t="s">
        <v>261</v>
      </c>
      <c r="E229" s="4">
        <v>711.2</v>
      </c>
      <c r="F229" s="4">
        <v>660.4</v>
      </c>
      <c r="G229" s="4">
        <f t="shared" si="17"/>
        <v>692.1400000000001</v>
      </c>
      <c r="H229" s="4">
        <f t="shared" si="17"/>
        <v>641.34</v>
      </c>
      <c r="I229" s="4">
        <f t="shared" si="18"/>
        <v>685.80000000000007</v>
      </c>
      <c r="J229" s="4">
        <f t="shared" si="18"/>
        <v>635</v>
      </c>
      <c r="K229" s="5">
        <v>609.6</v>
      </c>
      <c r="L229" s="4">
        <f t="shared" si="19"/>
        <v>25.400000000000034</v>
      </c>
      <c r="M229" s="3">
        <v>9.5299999999999994</v>
      </c>
      <c r="N229" s="3">
        <v>9.5299999999999994</v>
      </c>
      <c r="O229" s="3">
        <v>12.7</v>
      </c>
      <c r="P229" s="3">
        <v>12.7</v>
      </c>
      <c r="Q229" s="4">
        <v>95.3</v>
      </c>
      <c r="R229" s="4">
        <v>132</v>
      </c>
      <c r="S229" s="8"/>
    </row>
    <row r="230" spans="1:19" x14ac:dyDescent="0.35">
      <c r="A230" s="1"/>
      <c r="B230" s="2"/>
      <c r="C230" s="2"/>
      <c r="D230" s="25" t="s">
        <v>262</v>
      </c>
      <c r="E230" s="4">
        <v>762</v>
      </c>
      <c r="F230" s="3">
        <v>508</v>
      </c>
      <c r="G230" s="4">
        <f t="shared" si="17"/>
        <v>742.94</v>
      </c>
      <c r="H230" s="4">
        <f t="shared" si="17"/>
        <v>488.94</v>
      </c>
      <c r="I230" s="4">
        <f t="shared" si="18"/>
        <v>736.6</v>
      </c>
      <c r="J230" s="4">
        <f t="shared" si="18"/>
        <v>482.6</v>
      </c>
      <c r="K230" s="5">
        <v>609.6</v>
      </c>
      <c r="L230" s="4">
        <f t="shared" si="19"/>
        <v>127</v>
      </c>
      <c r="M230" s="3">
        <v>9.5299999999999994</v>
      </c>
      <c r="N230" s="3">
        <v>9.5299999999999994</v>
      </c>
      <c r="O230" s="3">
        <v>12.7</v>
      </c>
      <c r="P230" s="3">
        <v>12.7</v>
      </c>
      <c r="Q230" s="4">
        <v>100</v>
      </c>
      <c r="R230" s="4">
        <v>143</v>
      </c>
      <c r="S230" s="8"/>
    </row>
    <row r="231" spans="1:19" x14ac:dyDescent="0.35">
      <c r="A231" s="1"/>
      <c r="B231" s="2"/>
      <c r="C231" s="2"/>
      <c r="D231" s="25" t="s">
        <v>263</v>
      </c>
      <c r="E231" s="4">
        <v>762</v>
      </c>
      <c r="F231" s="3">
        <v>609.6</v>
      </c>
      <c r="G231" s="4">
        <f t="shared" si="17"/>
        <v>742.94</v>
      </c>
      <c r="H231" s="4">
        <f t="shared" si="17"/>
        <v>590.54000000000008</v>
      </c>
      <c r="I231" s="4">
        <f t="shared" si="18"/>
        <v>736.6</v>
      </c>
      <c r="J231" s="4">
        <f t="shared" si="18"/>
        <v>584.20000000000005</v>
      </c>
      <c r="K231" s="5">
        <v>609.6</v>
      </c>
      <c r="L231" s="4">
        <f t="shared" si="19"/>
        <v>76.199999999999989</v>
      </c>
      <c r="M231" s="3">
        <v>9.5299999999999994</v>
      </c>
      <c r="N231" s="3">
        <v>9.5299999999999994</v>
      </c>
      <c r="O231" s="3">
        <v>12.7</v>
      </c>
      <c r="P231" s="3">
        <v>12.7</v>
      </c>
      <c r="Q231" s="4">
        <v>100</v>
      </c>
      <c r="R231" s="4">
        <v>143</v>
      </c>
      <c r="S231" s="8"/>
    </row>
    <row r="232" spans="1:19" x14ac:dyDescent="0.35">
      <c r="A232" s="1"/>
      <c r="B232" s="2"/>
      <c r="C232" s="2"/>
      <c r="D232" s="25" t="s">
        <v>264</v>
      </c>
      <c r="E232" s="4">
        <v>762</v>
      </c>
      <c r="F232" s="4">
        <v>660.4</v>
      </c>
      <c r="G232" s="4">
        <f t="shared" si="17"/>
        <v>742.94</v>
      </c>
      <c r="H232" s="4">
        <f t="shared" si="17"/>
        <v>641.34</v>
      </c>
      <c r="I232" s="4">
        <f t="shared" si="18"/>
        <v>736.6</v>
      </c>
      <c r="J232" s="4">
        <f t="shared" si="18"/>
        <v>635</v>
      </c>
      <c r="K232" s="5">
        <v>609.6</v>
      </c>
      <c r="L232" s="4">
        <f t="shared" si="19"/>
        <v>50.800000000000011</v>
      </c>
      <c r="M232" s="3">
        <v>9.5299999999999994</v>
      </c>
      <c r="N232" s="3">
        <v>9.5299999999999994</v>
      </c>
      <c r="O232" s="3">
        <v>12.7</v>
      </c>
      <c r="P232" s="3">
        <v>12.7</v>
      </c>
      <c r="Q232" s="4">
        <v>100</v>
      </c>
      <c r="R232" s="4">
        <v>143</v>
      </c>
      <c r="S232" s="8"/>
    </row>
    <row r="233" spans="1:19" x14ac:dyDescent="0.35">
      <c r="A233" s="1"/>
      <c r="B233" s="2"/>
      <c r="C233" s="2"/>
      <c r="D233" s="25" t="s">
        <v>265</v>
      </c>
      <c r="E233" s="4">
        <v>762</v>
      </c>
      <c r="F233" s="4">
        <v>711.2</v>
      </c>
      <c r="G233" s="4">
        <f t="shared" si="17"/>
        <v>742.94</v>
      </c>
      <c r="H233" s="4">
        <f t="shared" si="17"/>
        <v>692.1400000000001</v>
      </c>
      <c r="I233" s="4">
        <f t="shared" si="18"/>
        <v>736.6</v>
      </c>
      <c r="J233" s="4">
        <f t="shared" si="18"/>
        <v>685.80000000000007</v>
      </c>
      <c r="K233" s="5">
        <v>609.6</v>
      </c>
      <c r="L233" s="4">
        <f t="shared" si="19"/>
        <v>25.399999999999977</v>
      </c>
      <c r="M233" s="3">
        <v>9.5299999999999994</v>
      </c>
      <c r="N233" s="3">
        <v>9.5299999999999994</v>
      </c>
      <c r="O233" s="3">
        <v>12.7</v>
      </c>
      <c r="P233" s="3">
        <v>12.7</v>
      </c>
      <c r="Q233" s="4">
        <v>100</v>
      </c>
      <c r="R233" s="4">
        <v>143</v>
      </c>
      <c r="S233" s="8"/>
    </row>
    <row r="234" spans="1:19" x14ac:dyDescent="0.35">
      <c r="A234" s="1"/>
      <c r="B234" s="2"/>
      <c r="C234" s="2"/>
      <c r="D234" s="25" t="s">
        <v>266</v>
      </c>
      <c r="E234" s="4">
        <v>812.8</v>
      </c>
      <c r="F234" s="3">
        <v>609.6</v>
      </c>
      <c r="G234" s="4">
        <f t="shared" si="17"/>
        <v>793.74</v>
      </c>
      <c r="H234" s="4">
        <f t="shared" si="17"/>
        <v>590.54000000000008</v>
      </c>
      <c r="I234" s="4">
        <f t="shared" si="18"/>
        <v>787.4</v>
      </c>
      <c r="J234" s="4">
        <f t="shared" si="18"/>
        <v>584.20000000000005</v>
      </c>
      <c r="K234" s="5">
        <v>609.6</v>
      </c>
      <c r="L234" s="4">
        <f t="shared" si="19"/>
        <v>101.59999999999997</v>
      </c>
      <c r="M234" s="3">
        <v>9.5299999999999994</v>
      </c>
      <c r="N234" s="3">
        <v>9.5299999999999994</v>
      </c>
      <c r="O234" s="3">
        <v>12.7</v>
      </c>
      <c r="P234" s="3">
        <v>12.7</v>
      </c>
      <c r="Q234" s="4">
        <v>115</v>
      </c>
      <c r="R234" s="4">
        <v>150</v>
      </c>
      <c r="S234" s="8"/>
    </row>
    <row r="235" spans="1:19" x14ac:dyDescent="0.35">
      <c r="A235" s="1"/>
      <c r="B235" s="2"/>
      <c r="C235" s="2"/>
      <c r="D235" s="25" t="s">
        <v>267</v>
      </c>
      <c r="E235" s="4">
        <v>812.8</v>
      </c>
      <c r="F235" s="4">
        <v>660.4</v>
      </c>
      <c r="G235" s="4">
        <f t="shared" si="17"/>
        <v>793.74</v>
      </c>
      <c r="H235" s="4">
        <f t="shared" si="17"/>
        <v>641.34</v>
      </c>
      <c r="I235" s="4">
        <f t="shared" si="18"/>
        <v>787.4</v>
      </c>
      <c r="J235" s="4">
        <f t="shared" si="18"/>
        <v>635</v>
      </c>
      <c r="K235" s="5">
        <v>609.6</v>
      </c>
      <c r="L235" s="4">
        <f t="shared" si="19"/>
        <v>76.199999999999989</v>
      </c>
      <c r="M235" s="3">
        <v>9.5299999999999994</v>
      </c>
      <c r="N235" s="3">
        <v>9.5299999999999994</v>
      </c>
      <c r="O235" s="3">
        <v>12.7</v>
      </c>
      <c r="P235" s="3">
        <v>12.7</v>
      </c>
      <c r="Q235" s="4">
        <v>115</v>
      </c>
      <c r="R235" s="4">
        <v>150</v>
      </c>
      <c r="S235" s="8"/>
    </row>
    <row r="236" spans="1:19" x14ac:dyDescent="0.35">
      <c r="A236" s="1"/>
      <c r="B236" s="2"/>
      <c r="C236" s="2"/>
      <c r="D236" s="25" t="s">
        <v>268</v>
      </c>
      <c r="E236" s="4">
        <v>812.8</v>
      </c>
      <c r="F236" s="4">
        <v>711.2</v>
      </c>
      <c r="G236" s="4">
        <f t="shared" si="17"/>
        <v>793.74</v>
      </c>
      <c r="H236" s="4">
        <f t="shared" si="17"/>
        <v>692.1400000000001</v>
      </c>
      <c r="I236" s="4">
        <f t="shared" si="18"/>
        <v>787.4</v>
      </c>
      <c r="J236" s="4">
        <f t="shared" si="18"/>
        <v>685.80000000000007</v>
      </c>
      <c r="K236" s="5">
        <v>609.6</v>
      </c>
      <c r="L236" s="4">
        <f t="shared" si="19"/>
        <v>50.799999999999955</v>
      </c>
      <c r="M236" s="3">
        <v>9.5299999999999994</v>
      </c>
      <c r="N236" s="3">
        <v>9.5299999999999994</v>
      </c>
      <c r="O236" s="3">
        <v>12.7</v>
      </c>
      <c r="P236" s="3">
        <v>12.7</v>
      </c>
      <c r="Q236" s="4">
        <v>115</v>
      </c>
      <c r="R236" s="4">
        <v>150</v>
      </c>
      <c r="S236" s="8"/>
    </row>
    <row r="237" spans="1:19" x14ac:dyDescent="0.35">
      <c r="A237" s="1"/>
      <c r="B237" s="2"/>
      <c r="C237" s="2"/>
      <c r="D237" s="25" t="s">
        <v>269</v>
      </c>
      <c r="E237" s="4">
        <v>812.8</v>
      </c>
      <c r="F237" s="4">
        <v>762</v>
      </c>
      <c r="G237" s="4">
        <f t="shared" si="17"/>
        <v>793.74</v>
      </c>
      <c r="H237" s="4">
        <f t="shared" si="17"/>
        <v>742.94</v>
      </c>
      <c r="I237" s="4">
        <f t="shared" si="18"/>
        <v>787.4</v>
      </c>
      <c r="J237" s="4">
        <f t="shared" si="18"/>
        <v>736.6</v>
      </c>
      <c r="K237" s="5">
        <v>609.6</v>
      </c>
      <c r="L237" s="4">
        <f t="shared" si="19"/>
        <v>25.399999999999977</v>
      </c>
      <c r="M237" s="3">
        <v>9.5299999999999994</v>
      </c>
      <c r="N237" s="3">
        <v>9.5299999999999994</v>
      </c>
      <c r="O237" s="3">
        <v>12.7</v>
      </c>
      <c r="P237" s="3">
        <v>12.7</v>
      </c>
      <c r="Q237" s="4">
        <v>115</v>
      </c>
      <c r="R237" s="4">
        <v>150</v>
      </c>
      <c r="S237" s="8"/>
    </row>
    <row r="238" spans="1:19" x14ac:dyDescent="0.35">
      <c r="A238" s="1"/>
      <c r="B238" s="2"/>
      <c r="C238" s="2"/>
      <c r="D238" s="25" t="s">
        <v>270</v>
      </c>
      <c r="E238" s="4">
        <v>863.6</v>
      </c>
      <c r="F238" s="3">
        <v>609.6</v>
      </c>
      <c r="G238" s="4">
        <f t="shared" si="17"/>
        <v>844.54000000000008</v>
      </c>
      <c r="H238" s="4">
        <f t="shared" si="17"/>
        <v>590.54000000000008</v>
      </c>
      <c r="I238" s="4">
        <f t="shared" si="18"/>
        <v>838.2</v>
      </c>
      <c r="J238" s="4">
        <f t="shared" si="18"/>
        <v>584.20000000000005</v>
      </c>
      <c r="K238" s="5">
        <v>609.6</v>
      </c>
      <c r="L238" s="4">
        <f t="shared" si="19"/>
        <v>127</v>
      </c>
      <c r="M238" s="3">
        <v>9.5299999999999994</v>
      </c>
      <c r="N238" s="3">
        <v>9.5299999999999994</v>
      </c>
      <c r="O238" s="3">
        <v>12.7</v>
      </c>
      <c r="P238" s="3">
        <v>12.7</v>
      </c>
      <c r="Q238" s="4">
        <v>115</v>
      </c>
      <c r="R238" s="4">
        <v>157</v>
      </c>
      <c r="S238" s="8"/>
    </row>
    <row r="239" spans="1:19" x14ac:dyDescent="0.35">
      <c r="A239" s="1"/>
      <c r="B239" s="2"/>
      <c r="C239" s="2"/>
      <c r="D239" s="25" t="s">
        <v>271</v>
      </c>
      <c r="E239" s="4">
        <v>863.6</v>
      </c>
      <c r="F239" s="4">
        <v>660.4</v>
      </c>
      <c r="G239" s="4">
        <f t="shared" ref="G239:H270" si="20">E239-2*M239</f>
        <v>844.54000000000008</v>
      </c>
      <c r="H239" s="4">
        <f t="shared" si="20"/>
        <v>641.34</v>
      </c>
      <c r="I239" s="4">
        <f t="shared" ref="I239:J270" si="21">E239-2*O239</f>
        <v>838.2</v>
      </c>
      <c r="J239" s="4">
        <f t="shared" si="21"/>
        <v>635</v>
      </c>
      <c r="K239" s="5">
        <v>609.6</v>
      </c>
      <c r="L239" s="4">
        <f t="shared" si="19"/>
        <v>101.60000000000002</v>
      </c>
      <c r="M239" s="3">
        <v>9.5299999999999994</v>
      </c>
      <c r="N239" s="3">
        <v>9.5299999999999994</v>
      </c>
      <c r="O239" s="3">
        <v>12.7</v>
      </c>
      <c r="P239" s="3">
        <v>12.7</v>
      </c>
      <c r="Q239" s="4">
        <v>112</v>
      </c>
      <c r="R239" s="4">
        <v>157</v>
      </c>
      <c r="S239" s="8"/>
    </row>
    <row r="240" spans="1:19" x14ac:dyDescent="0.35">
      <c r="A240" s="1"/>
      <c r="B240" s="2"/>
      <c r="C240" s="2"/>
      <c r="D240" s="25" t="s">
        <v>272</v>
      </c>
      <c r="E240" s="4">
        <v>863.6</v>
      </c>
      <c r="F240" s="4">
        <v>711.2</v>
      </c>
      <c r="G240" s="4">
        <f t="shared" si="20"/>
        <v>844.54000000000008</v>
      </c>
      <c r="H240" s="4">
        <f t="shared" si="20"/>
        <v>692.1400000000001</v>
      </c>
      <c r="I240" s="4">
        <f t="shared" si="21"/>
        <v>838.2</v>
      </c>
      <c r="J240" s="4">
        <f t="shared" si="21"/>
        <v>685.80000000000007</v>
      </c>
      <c r="K240" s="5">
        <v>609.6</v>
      </c>
      <c r="L240" s="4">
        <f t="shared" si="19"/>
        <v>76.199999999999989</v>
      </c>
      <c r="M240" s="3">
        <v>9.5299999999999994</v>
      </c>
      <c r="N240" s="3">
        <v>9.5299999999999994</v>
      </c>
      <c r="O240" s="3">
        <v>12.7</v>
      </c>
      <c r="P240" s="3">
        <v>12.7</v>
      </c>
      <c r="Q240" s="4">
        <v>112</v>
      </c>
      <c r="R240" s="4">
        <v>157</v>
      </c>
      <c r="S240" s="8"/>
    </row>
    <row r="241" spans="1:19" x14ac:dyDescent="0.35">
      <c r="A241" s="1"/>
      <c r="B241" s="2"/>
      <c r="C241" s="2"/>
      <c r="D241" s="25" t="s">
        <v>273</v>
      </c>
      <c r="E241" s="4">
        <v>863.6</v>
      </c>
      <c r="F241" s="4">
        <v>762</v>
      </c>
      <c r="G241" s="4">
        <f t="shared" si="20"/>
        <v>844.54000000000008</v>
      </c>
      <c r="H241" s="4">
        <f t="shared" si="20"/>
        <v>742.94</v>
      </c>
      <c r="I241" s="4">
        <f t="shared" si="21"/>
        <v>838.2</v>
      </c>
      <c r="J241" s="4">
        <f t="shared" si="21"/>
        <v>736.6</v>
      </c>
      <c r="K241" s="5">
        <v>609.6</v>
      </c>
      <c r="L241" s="4">
        <f t="shared" si="19"/>
        <v>50.800000000000011</v>
      </c>
      <c r="M241" s="3">
        <v>9.5299999999999994</v>
      </c>
      <c r="N241" s="3">
        <v>9.5299999999999994</v>
      </c>
      <c r="O241" s="3">
        <v>12.7</v>
      </c>
      <c r="P241" s="3">
        <v>12.7</v>
      </c>
      <c r="Q241" s="4">
        <v>112</v>
      </c>
      <c r="R241" s="4">
        <v>157</v>
      </c>
      <c r="S241" s="8"/>
    </row>
    <row r="242" spans="1:19" x14ac:dyDescent="0.35">
      <c r="A242" s="1"/>
      <c r="B242" s="2"/>
      <c r="C242" s="2"/>
      <c r="D242" s="25" t="s">
        <v>274</v>
      </c>
      <c r="E242" s="4">
        <v>863.6</v>
      </c>
      <c r="F242" s="4">
        <v>812.8</v>
      </c>
      <c r="G242" s="4">
        <f t="shared" si="20"/>
        <v>844.54000000000008</v>
      </c>
      <c r="H242" s="4">
        <f t="shared" si="20"/>
        <v>793.74</v>
      </c>
      <c r="I242" s="4">
        <f t="shared" si="21"/>
        <v>838.2</v>
      </c>
      <c r="J242" s="4">
        <f t="shared" si="21"/>
        <v>787.4</v>
      </c>
      <c r="K242" s="5">
        <v>609.6</v>
      </c>
      <c r="L242" s="4">
        <f t="shared" si="19"/>
        <v>25.400000000000034</v>
      </c>
      <c r="M242" s="3">
        <v>9.5299999999999994</v>
      </c>
      <c r="N242" s="3">
        <v>9.5299999999999994</v>
      </c>
      <c r="O242" s="3">
        <v>12.7</v>
      </c>
      <c r="P242" s="3">
        <v>12.7</v>
      </c>
      <c r="Q242" s="4">
        <v>112</v>
      </c>
      <c r="R242" s="4">
        <v>157</v>
      </c>
      <c r="S242" s="8"/>
    </row>
    <row r="243" spans="1:19" x14ac:dyDescent="0.35">
      <c r="A243" s="1"/>
      <c r="B243" s="2"/>
      <c r="C243" s="2"/>
      <c r="D243" s="25" t="s">
        <v>275</v>
      </c>
      <c r="E243" s="4">
        <v>914.4</v>
      </c>
      <c r="F243" s="3">
        <v>609.6</v>
      </c>
      <c r="G243" s="4">
        <f t="shared" si="20"/>
        <v>895.34</v>
      </c>
      <c r="H243" s="4">
        <f t="shared" si="20"/>
        <v>590.54000000000008</v>
      </c>
      <c r="I243" s="4">
        <f t="shared" si="21"/>
        <v>889</v>
      </c>
      <c r="J243" s="4">
        <f t="shared" si="21"/>
        <v>584.20000000000005</v>
      </c>
      <c r="K243" s="5">
        <v>609.6</v>
      </c>
      <c r="L243" s="4">
        <f t="shared" si="19"/>
        <v>152.39999999999998</v>
      </c>
      <c r="M243" s="3">
        <v>9.5299999999999994</v>
      </c>
      <c r="N243" s="3">
        <v>9.5299999999999994</v>
      </c>
      <c r="O243" s="3">
        <v>12.7</v>
      </c>
      <c r="P243" s="3">
        <v>12.7</v>
      </c>
      <c r="Q243" s="4">
        <v>129</v>
      </c>
      <c r="R243" s="4">
        <v>172</v>
      </c>
      <c r="S243" s="8"/>
    </row>
    <row r="244" spans="1:19" x14ac:dyDescent="0.35">
      <c r="A244" s="1"/>
      <c r="B244" s="2"/>
      <c r="C244" s="2"/>
      <c r="D244" s="25" t="s">
        <v>276</v>
      </c>
      <c r="E244" s="4">
        <v>914.4</v>
      </c>
      <c r="F244" s="4">
        <v>660.4</v>
      </c>
      <c r="G244" s="4">
        <f t="shared" si="20"/>
        <v>895.34</v>
      </c>
      <c r="H244" s="4">
        <f t="shared" si="20"/>
        <v>641.34</v>
      </c>
      <c r="I244" s="4">
        <f t="shared" si="21"/>
        <v>889</v>
      </c>
      <c r="J244" s="4">
        <f t="shared" si="21"/>
        <v>635</v>
      </c>
      <c r="K244" s="5">
        <v>609.6</v>
      </c>
      <c r="L244" s="4">
        <f t="shared" si="19"/>
        <v>127</v>
      </c>
      <c r="M244" s="3">
        <v>9.5299999999999994</v>
      </c>
      <c r="N244" s="3">
        <v>9.5299999999999994</v>
      </c>
      <c r="O244" s="3">
        <v>12.7</v>
      </c>
      <c r="P244" s="3">
        <v>12.7</v>
      </c>
      <c r="Q244" s="4">
        <v>129</v>
      </c>
      <c r="R244" s="4">
        <v>172</v>
      </c>
      <c r="S244" s="8"/>
    </row>
    <row r="245" spans="1:19" x14ac:dyDescent="0.35">
      <c r="A245" s="1"/>
      <c r="B245" s="2"/>
      <c r="C245" s="2"/>
      <c r="D245" s="25" t="s">
        <v>277</v>
      </c>
      <c r="E245" s="4">
        <v>914.4</v>
      </c>
      <c r="F245" s="4">
        <v>762</v>
      </c>
      <c r="G245" s="4">
        <f t="shared" si="20"/>
        <v>895.34</v>
      </c>
      <c r="H245" s="4">
        <f t="shared" si="20"/>
        <v>742.94</v>
      </c>
      <c r="I245" s="4">
        <f t="shared" si="21"/>
        <v>889</v>
      </c>
      <c r="J245" s="4">
        <f t="shared" si="21"/>
        <v>736.6</v>
      </c>
      <c r="K245" s="5">
        <v>609.6</v>
      </c>
      <c r="L245" s="4">
        <f t="shared" si="19"/>
        <v>76.199999999999989</v>
      </c>
      <c r="M245" s="3">
        <v>9.5299999999999994</v>
      </c>
      <c r="N245" s="3">
        <v>9.5299999999999994</v>
      </c>
      <c r="O245" s="3">
        <v>12.7</v>
      </c>
      <c r="P245" s="3">
        <v>12.7</v>
      </c>
      <c r="Q245" s="4">
        <v>129</v>
      </c>
      <c r="R245" s="4">
        <v>172</v>
      </c>
      <c r="S245" s="8"/>
    </row>
    <row r="246" spans="1:19" x14ac:dyDescent="0.35">
      <c r="A246" s="1"/>
      <c r="B246" s="2"/>
      <c r="C246" s="2"/>
      <c r="D246" s="25" t="s">
        <v>278</v>
      </c>
      <c r="E246" s="4">
        <v>914.4</v>
      </c>
      <c r="F246" s="4">
        <v>812.8</v>
      </c>
      <c r="G246" s="4">
        <f t="shared" si="20"/>
        <v>895.34</v>
      </c>
      <c r="H246" s="4">
        <f t="shared" si="20"/>
        <v>793.74</v>
      </c>
      <c r="I246" s="4">
        <f t="shared" si="21"/>
        <v>889</v>
      </c>
      <c r="J246" s="4">
        <f t="shared" si="21"/>
        <v>787.4</v>
      </c>
      <c r="K246" s="5">
        <v>609.6</v>
      </c>
      <c r="L246" s="4">
        <f t="shared" si="19"/>
        <v>50.800000000000011</v>
      </c>
      <c r="M246" s="3">
        <v>9.5299999999999994</v>
      </c>
      <c r="N246" s="3">
        <v>9.5299999999999994</v>
      </c>
      <c r="O246" s="3">
        <v>12.7</v>
      </c>
      <c r="P246" s="3">
        <v>12.7</v>
      </c>
      <c r="Q246" s="4">
        <v>129</v>
      </c>
      <c r="R246" s="4">
        <v>172</v>
      </c>
      <c r="S246" s="8"/>
    </row>
    <row r="247" spans="1:19" x14ac:dyDescent="0.35">
      <c r="A247" s="1"/>
      <c r="B247" s="2"/>
      <c r="C247" s="2"/>
      <c r="D247" s="25" t="s">
        <v>279</v>
      </c>
      <c r="E247" s="4">
        <v>914.4</v>
      </c>
      <c r="F247" s="4">
        <v>863.6</v>
      </c>
      <c r="G247" s="4">
        <f t="shared" si="20"/>
        <v>895.34</v>
      </c>
      <c r="H247" s="4">
        <f t="shared" si="20"/>
        <v>844.54000000000008</v>
      </c>
      <c r="I247" s="4">
        <f t="shared" si="21"/>
        <v>889</v>
      </c>
      <c r="J247" s="4">
        <f t="shared" si="21"/>
        <v>838.2</v>
      </c>
      <c r="K247" s="5">
        <v>609.6</v>
      </c>
      <c r="L247" s="4">
        <f t="shared" si="19"/>
        <v>25.399999999999977</v>
      </c>
      <c r="M247" s="3">
        <v>9.5299999999999994</v>
      </c>
      <c r="N247" s="3">
        <v>9.5299999999999994</v>
      </c>
      <c r="O247" s="3">
        <v>12.7</v>
      </c>
      <c r="P247" s="3">
        <v>12.7</v>
      </c>
      <c r="Q247" s="4">
        <v>129</v>
      </c>
      <c r="R247" s="4">
        <v>172</v>
      </c>
      <c r="S247" s="8"/>
    </row>
    <row r="248" spans="1:19" x14ac:dyDescent="0.35">
      <c r="A248" s="1"/>
      <c r="B248" s="2"/>
      <c r="C248" s="2"/>
      <c r="D248" s="25" t="s">
        <v>280</v>
      </c>
      <c r="E248" s="4">
        <v>965.2</v>
      </c>
      <c r="F248" s="4">
        <v>660.4</v>
      </c>
      <c r="G248" s="4">
        <f t="shared" si="20"/>
        <v>946.1400000000001</v>
      </c>
      <c r="H248" s="4">
        <f t="shared" si="20"/>
        <v>641.34</v>
      </c>
      <c r="I248" s="4">
        <f t="shared" si="21"/>
        <v>939.80000000000007</v>
      </c>
      <c r="J248" s="4">
        <f t="shared" si="21"/>
        <v>635</v>
      </c>
      <c r="K248" s="5">
        <v>609.6</v>
      </c>
      <c r="L248" s="4">
        <f t="shared" si="19"/>
        <v>152.40000000000003</v>
      </c>
      <c r="M248" s="3">
        <v>9.5299999999999994</v>
      </c>
      <c r="N248" s="3">
        <v>9.5299999999999994</v>
      </c>
      <c r="O248" s="3">
        <v>12.7</v>
      </c>
      <c r="P248" s="3">
        <v>12.7</v>
      </c>
      <c r="Q248" s="4">
        <v>136</v>
      </c>
      <c r="R248" s="4">
        <v>186</v>
      </c>
      <c r="S248" s="8"/>
    </row>
    <row r="249" spans="1:19" x14ac:dyDescent="0.35">
      <c r="A249" s="1"/>
      <c r="B249" s="2"/>
      <c r="C249" s="2"/>
      <c r="D249" s="25" t="s">
        <v>281</v>
      </c>
      <c r="E249" s="4">
        <v>965.2</v>
      </c>
      <c r="F249" s="4">
        <v>711.2</v>
      </c>
      <c r="G249" s="4">
        <f t="shared" si="20"/>
        <v>946.1400000000001</v>
      </c>
      <c r="H249" s="4">
        <f t="shared" si="20"/>
        <v>692.1400000000001</v>
      </c>
      <c r="I249" s="4">
        <f t="shared" si="21"/>
        <v>939.80000000000007</v>
      </c>
      <c r="J249" s="4">
        <f t="shared" si="21"/>
        <v>685.80000000000007</v>
      </c>
      <c r="K249" s="5">
        <v>609.6</v>
      </c>
      <c r="L249" s="4">
        <f t="shared" si="19"/>
        <v>127</v>
      </c>
      <c r="M249" s="3">
        <v>9.5299999999999994</v>
      </c>
      <c r="N249" s="3">
        <v>9.5299999999999994</v>
      </c>
      <c r="O249" s="3">
        <v>12.7</v>
      </c>
      <c r="P249" s="3">
        <v>12.7</v>
      </c>
      <c r="Q249" s="4">
        <v>136</v>
      </c>
      <c r="R249" s="4">
        <v>186</v>
      </c>
      <c r="S249" s="8"/>
    </row>
    <row r="250" spans="1:19" x14ac:dyDescent="0.35">
      <c r="A250" s="1"/>
      <c r="B250" s="2"/>
      <c r="C250" s="2"/>
      <c r="D250" s="25" t="s">
        <v>282</v>
      </c>
      <c r="E250" s="4">
        <v>965.2</v>
      </c>
      <c r="F250" s="4">
        <v>762</v>
      </c>
      <c r="G250" s="4">
        <f t="shared" si="20"/>
        <v>946.1400000000001</v>
      </c>
      <c r="H250" s="4">
        <f t="shared" si="20"/>
        <v>742.94</v>
      </c>
      <c r="I250" s="4">
        <f t="shared" si="21"/>
        <v>939.80000000000007</v>
      </c>
      <c r="J250" s="4">
        <f t="shared" si="21"/>
        <v>736.6</v>
      </c>
      <c r="K250" s="5">
        <v>609.6</v>
      </c>
      <c r="L250" s="4">
        <f t="shared" si="19"/>
        <v>101.60000000000002</v>
      </c>
      <c r="M250" s="3">
        <v>9.5299999999999994</v>
      </c>
      <c r="N250" s="3">
        <v>9.5299999999999994</v>
      </c>
      <c r="O250" s="3">
        <v>12.7</v>
      </c>
      <c r="P250" s="3">
        <v>12.7</v>
      </c>
      <c r="Q250" s="4">
        <v>136</v>
      </c>
      <c r="R250" s="4">
        <v>186</v>
      </c>
      <c r="S250" s="8"/>
    </row>
    <row r="251" spans="1:19" x14ac:dyDescent="0.35">
      <c r="A251" s="1"/>
      <c r="B251" s="2"/>
      <c r="C251" s="2"/>
      <c r="D251" s="25" t="s">
        <v>283</v>
      </c>
      <c r="E251" s="4">
        <v>965.2</v>
      </c>
      <c r="F251" s="4">
        <v>812.8</v>
      </c>
      <c r="G251" s="4">
        <f t="shared" si="20"/>
        <v>946.1400000000001</v>
      </c>
      <c r="H251" s="4">
        <f t="shared" si="20"/>
        <v>793.74</v>
      </c>
      <c r="I251" s="4">
        <f t="shared" si="21"/>
        <v>939.80000000000007</v>
      </c>
      <c r="J251" s="4">
        <f t="shared" si="21"/>
        <v>787.4</v>
      </c>
      <c r="K251" s="5">
        <v>609.6</v>
      </c>
      <c r="L251" s="4">
        <f t="shared" si="19"/>
        <v>76.200000000000045</v>
      </c>
      <c r="M251" s="3">
        <v>9.5299999999999994</v>
      </c>
      <c r="N251" s="3">
        <v>9.5299999999999994</v>
      </c>
      <c r="O251" s="3">
        <v>12.7</v>
      </c>
      <c r="P251" s="3">
        <v>12.7</v>
      </c>
      <c r="Q251" s="4">
        <v>136</v>
      </c>
      <c r="R251" s="4">
        <v>186</v>
      </c>
      <c r="S251" s="8"/>
    </row>
    <row r="252" spans="1:19" x14ac:dyDescent="0.35">
      <c r="A252" s="1"/>
      <c r="B252" s="2"/>
      <c r="C252" s="2"/>
      <c r="D252" s="25" t="s">
        <v>284</v>
      </c>
      <c r="E252" s="4">
        <v>965.2</v>
      </c>
      <c r="F252" s="4">
        <v>863.6</v>
      </c>
      <c r="G252" s="4">
        <f t="shared" si="20"/>
        <v>946.1400000000001</v>
      </c>
      <c r="H252" s="4">
        <f t="shared" si="20"/>
        <v>844.54000000000008</v>
      </c>
      <c r="I252" s="4">
        <f t="shared" si="21"/>
        <v>939.80000000000007</v>
      </c>
      <c r="J252" s="4">
        <f t="shared" si="21"/>
        <v>838.2</v>
      </c>
      <c r="K252" s="5">
        <v>609.6</v>
      </c>
      <c r="L252" s="4">
        <f t="shared" si="19"/>
        <v>50.800000000000011</v>
      </c>
      <c r="M252" s="3">
        <v>9.5299999999999994</v>
      </c>
      <c r="N252" s="3">
        <v>9.5299999999999994</v>
      </c>
      <c r="O252" s="3">
        <v>12.7</v>
      </c>
      <c r="P252" s="3">
        <v>12.7</v>
      </c>
      <c r="Q252" s="4">
        <v>136</v>
      </c>
      <c r="R252" s="4">
        <v>186</v>
      </c>
      <c r="S252" s="8"/>
    </row>
    <row r="253" spans="1:19" x14ac:dyDescent="0.35">
      <c r="A253" s="1"/>
      <c r="B253" s="2"/>
      <c r="C253" s="2"/>
      <c r="D253" s="25" t="s">
        <v>285</v>
      </c>
      <c r="E253" s="4">
        <v>965.2</v>
      </c>
      <c r="F253" s="4">
        <v>914.4</v>
      </c>
      <c r="G253" s="4">
        <f t="shared" si="20"/>
        <v>946.1400000000001</v>
      </c>
      <c r="H253" s="4">
        <f t="shared" si="20"/>
        <v>895.34</v>
      </c>
      <c r="I253" s="4">
        <f t="shared" si="21"/>
        <v>939.80000000000007</v>
      </c>
      <c r="J253" s="4">
        <f t="shared" si="21"/>
        <v>889</v>
      </c>
      <c r="K253" s="5">
        <v>609.6</v>
      </c>
      <c r="L253" s="4">
        <f t="shared" si="19"/>
        <v>25.400000000000034</v>
      </c>
      <c r="M253" s="3">
        <v>9.5299999999999994</v>
      </c>
      <c r="N253" s="3">
        <v>9.5299999999999994</v>
      </c>
      <c r="O253" s="3">
        <v>12.7</v>
      </c>
      <c r="P253" s="3">
        <v>12.7</v>
      </c>
      <c r="Q253" s="4">
        <v>136</v>
      </c>
      <c r="R253" s="4">
        <v>186</v>
      </c>
      <c r="S253" s="8"/>
    </row>
    <row r="254" spans="1:19" x14ac:dyDescent="0.35">
      <c r="A254" s="1"/>
      <c r="B254" s="2"/>
      <c r="C254" s="2"/>
      <c r="D254" s="25" t="s">
        <v>286</v>
      </c>
      <c r="E254" s="4">
        <v>1016</v>
      </c>
      <c r="F254" s="4">
        <v>762</v>
      </c>
      <c r="G254" s="4">
        <f t="shared" si="20"/>
        <v>996.94</v>
      </c>
      <c r="H254" s="4">
        <f t="shared" si="20"/>
        <v>742.94</v>
      </c>
      <c r="I254" s="4">
        <f t="shared" si="21"/>
        <v>990.6</v>
      </c>
      <c r="J254" s="4">
        <f t="shared" si="21"/>
        <v>736.6</v>
      </c>
      <c r="K254" s="5">
        <v>609.6</v>
      </c>
      <c r="L254" s="4">
        <f t="shared" si="19"/>
        <v>127</v>
      </c>
      <c r="M254" s="3">
        <v>9.5299999999999994</v>
      </c>
      <c r="N254" s="3">
        <v>9.5299999999999994</v>
      </c>
      <c r="O254" s="3">
        <v>12.7</v>
      </c>
      <c r="P254" s="3">
        <v>12.7</v>
      </c>
      <c r="Q254" s="4">
        <v>143</v>
      </c>
      <c r="R254" s="4">
        <v>193</v>
      </c>
      <c r="S254" s="8"/>
    </row>
    <row r="255" spans="1:19" x14ac:dyDescent="0.35">
      <c r="A255" s="1"/>
      <c r="B255" s="2"/>
      <c r="C255" s="2"/>
      <c r="D255" s="25" t="s">
        <v>287</v>
      </c>
      <c r="E255" s="4">
        <v>1016</v>
      </c>
      <c r="F255" s="4">
        <v>812.8</v>
      </c>
      <c r="G255" s="4">
        <f t="shared" si="20"/>
        <v>996.94</v>
      </c>
      <c r="H255" s="4">
        <f t="shared" si="20"/>
        <v>793.74</v>
      </c>
      <c r="I255" s="4">
        <f t="shared" si="21"/>
        <v>990.6</v>
      </c>
      <c r="J255" s="4">
        <f t="shared" si="21"/>
        <v>787.4</v>
      </c>
      <c r="K255" s="5">
        <v>609.6</v>
      </c>
      <c r="L255" s="4">
        <f t="shared" si="19"/>
        <v>101.60000000000002</v>
      </c>
      <c r="M255" s="3">
        <v>9.5299999999999994</v>
      </c>
      <c r="N255" s="3">
        <v>9.5299999999999994</v>
      </c>
      <c r="O255" s="3">
        <v>12.7</v>
      </c>
      <c r="P255" s="3">
        <v>12.7</v>
      </c>
      <c r="Q255" s="4">
        <v>143</v>
      </c>
      <c r="R255" s="4">
        <v>193</v>
      </c>
      <c r="S255" s="8"/>
    </row>
    <row r="256" spans="1:19" x14ac:dyDescent="0.35">
      <c r="A256" s="1"/>
      <c r="B256" s="2"/>
      <c r="C256" s="2"/>
      <c r="D256" s="25" t="s">
        <v>288</v>
      </c>
      <c r="E256" s="4">
        <v>1016</v>
      </c>
      <c r="F256" s="4">
        <v>863.6</v>
      </c>
      <c r="G256" s="4">
        <f t="shared" si="20"/>
        <v>996.94</v>
      </c>
      <c r="H256" s="4">
        <f t="shared" si="20"/>
        <v>844.54000000000008</v>
      </c>
      <c r="I256" s="4">
        <f t="shared" si="21"/>
        <v>990.6</v>
      </c>
      <c r="J256" s="4">
        <f t="shared" si="21"/>
        <v>838.2</v>
      </c>
      <c r="K256" s="5">
        <v>609.6</v>
      </c>
      <c r="L256" s="4">
        <f t="shared" si="19"/>
        <v>76.199999999999989</v>
      </c>
      <c r="M256" s="3">
        <v>9.5299999999999994</v>
      </c>
      <c r="N256" s="3">
        <v>9.5299999999999994</v>
      </c>
      <c r="O256" s="3">
        <v>12.7</v>
      </c>
      <c r="P256" s="3">
        <v>12.7</v>
      </c>
      <c r="Q256" s="4">
        <v>143</v>
      </c>
      <c r="R256" s="4">
        <v>193</v>
      </c>
      <c r="S256" s="8"/>
    </row>
    <row r="257" spans="1:19" x14ac:dyDescent="0.35">
      <c r="A257" s="1"/>
      <c r="B257" s="2"/>
      <c r="C257" s="2"/>
      <c r="D257" s="25" t="s">
        <v>289</v>
      </c>
      <c r="E257" s="4">
        <v>1016</v>
      </c>
      <c r="F257" s="4">
        <v>914.4</v>
      </c>
      <c r="G257" s="4">
        <f t="shared" si="20"/>
        <v>996.94</v>
      </c>
      <c r="H257" s="4">
        <f t="shared" si="20"/>
        <v>895.34</v>
      </c>
      <c r="I257" s="4">
        <f t="shared" si="21"/>
        <v>990.6</v>
      </c>
      <c r="J257" s="4">
        <f t="shared" si="21"/>
        <v>889</v>
      </c>
      <c r="K257" s="5">
        <v>609.6</v>
      </c>
      <c r="L257" s="4">
        <f t="shared" si="19"/>
        <v>50.800000000000011</v>
      </c>
      <c r="M257" s="3">
        <v>9.5299999999999994</v>
      </c>
      <c r="N257" s="3">
        <v>9.5299999999999994</v>
      </c>
      <c r="O257" s="3">
        <v>12.7</v>
      </c>
      <c r="P257" s="3">
        <v>12.7</v>
      </c>
      <c r="Q257" s="4">
        <v>143</v>
      </c>
      <c r="R257" s="4">
        <v>193</v>
      </c>
      <c r="S257" s="8"/>
    </row>
    <row r="258" spans="1:19" x14ac:dyDescent="0.35">
      <c r="A258" s="1"/>
      <c r="B258" s="2"/>
      <c r="C258" s="2"/>
      <c r="D258" s="25" t="s">
        <v>290</v>
      </c>
      <c r="E258" s="4">
        <v>1016</v>
      </c>
      <c r="F258" s="4">
        <v>965.2</v>
      </c>
      <c r="G258" s="4">
        <f t="shared" si="20"/>
        <v>996.94</v>
      </c>
      <c r="H258" s="4">
        <f t="shared" si="20"/>
        <v>946.1400000000001</v>
      </c>
      <c r="I258" s="4">
        <f t="shared" si="21"/>
        <v>990.6</v>
      </c>
      <c r="J258" s="4">
        <f t="shared" si="21"/>
        <v>939.80000000000007</v>
      </c>
      <c r="K258" s="5">
        <v>609.6</v>
      </c>
      <c r="L258" s="4">
        <f t="shared" si="19"/>
        <v>25.399999999999977</v>
      </c>
      <c r="M258" s="3">
        <v>9.5299999999999994</v>
      </c>
      <c r="N258" s="3">
        <v>9.5299999999999994</v>
      </c>
      <c r="O258" s="3">
        <v>12.7</v>
      </c>
      <c r="P258" s="3">
        <v>12.7</v>
      </c>
      <c r="Q258" s="4">
        <v>143</v>
      </c>
      <c r="R258" s="4">
        <v>193</v>
      </c>
      <c r="S258" s="8"/>
    </row>
    <row r="259" spans="1:19" x14ac:dyDescent="0.35">
      <c r="A259" s="1"/>
      <c r="B259" s="2"/>
      <c r="C259" s="2"/>
      <c r="D259" s="25" t="s">
        <v>291</v>
      </c>
      <c r="E259" s="4">
        <v>1066.8</v>
      </c>
      <c r="F259" s="4">
        <v>762</v>
      </c>
      <c r="G259" s="4">
        <f t="shared" si="20"/>
        <v>1047.74</v>
      </c>
      <c r="H259" s="4">
        <f t="shared" si="20"/>
        <v>742.94</v>
      </c>
      <c r="I259" s="4">
        <f t="shared" si="21"/>
        <v>1041.3999999999999</v>
      </c>
      <c r="J259" s="4">
        <f t="shared" si="21"/>
        <v>736.6</v>
      </c>
      <c r="K259" s="5">
        <v>609.6</v>
      </c>
      <c r="L259" s="4">
        <f t="shared" si="19"/>
        <v>152.39999999999998</v>
      </c>
      <c r="M259" s="3">
        <v>9.5299999999999994</v>
      </c>
      <c r="N259" s="3">
        <v>9.5299999999999994</v>
      </c>
      <c r="O259" s="3">
        <v>12.7</v>
      </c>
      <c r="P259" s="3">
        <v>12.7</v>
      </c>
      <c r="Q259" s="4">
        <v>152</v>
      </c>
      <c r="R259" s="4">
        <v>201</v>
      </c>
      <c r="S259" s="8"/>
    </row>
    <row r="260" spans="1:19" x14ac:dyDescent="0.35">
      <c r="A260" s="1"/>
      <c r="B260" s="2"/>
      <c r="C260" s="2"/>
      <c r="D260" s="25" t="s">
        <v>292</v>
      </c>
      <c r="E260" s="4">
        <v>1066.8</v>
      </c>
      <c r="F260" s="4">
        <v>812.8</v>
      </c>
      <c r="G260" s="4">
        <f t="shared" si="20"/>
        <v>1047.74</v>
      </c>
      <c r="H260" s="4">
        <f t="shared" si="20"/>
        <v>793.74</v>
      </c>
      <c r="I260" s="4">
        <f t="shared" si="21"/>
        <v>1041.3999999999999</v>
      </c>
      <c r="J260" s="4">
        <f t="shared" si="21"/>
        <v>787.4</v>
      </c>
      <c r="K260" s="5">
        <v>609.6</v>
      </c>
      <c r="L260" s="4">
        <f t="shared" si="19"/>
        <v>127</v>
      </c>
      <c r="M260" s="3">
        <v>9.5299999999999994</v>
      </c>
      <c r="N260" s="3">
        <v>9.5299999999999994</v>
      </c>
      <c r="O260" s="3">
        <v>12.7</v>
      </c>
      <c r="P260" s="3">
        <v>12.7</v>
      </c>
      <c r="Q260" s="4">
        <v>152</v>
      </c>
      <c r="R260" s="4">
        <v>201</v>
      </c>
      <c r="S260" s="8"/>
    </row>
    <row r="261" spans="1:19" x14ac:dyDescent="0.35">
      <c r="A261" s="1"/>
      <c r="B261" s="2"/>
      <c r="C261" s="2"/>
      <c r="D261" s="25" t="s">
        <v>293</v>
      </c>
      <c r="E261" s="4">
        <v>1066.8</v>
      </c>
      <c r="F261" s="4">
        <v>863.6</v>
      </c>
      <c r="G261" s="4">
        <f t="shared" si="20"/>
        <v>1047.74</v>
      </c>
      <c r="H261" s="4">
        <f t="shared" si="20"/>
        <v>844.54000000000008</v>
      </c>
      <c r="I261" s="4">
        <f t="shared" si="21"/>
        <v>1041.3999999999999</v>
      </c>
      <c r="J261" s="4">
        <f t="shared" si="21"/>
        <v>838.2</v>
      </c>
      <c r="K261" s="5">
        <v>609.6</v>
      </c>
      <c r="L261" s="4">
        <f t="shared" si="19"/>
        <v>101.59999999999997</v>
      </c>
      <c r="M261" s="3">
        <v>9.5299999999999994</v>
      </c>
      <c r="N261" s="3">
        <v>9.5299999999999994</v>
      </c>
      <c r="O261" s="3">
        <v>12.7</v>
      </c>
      <c r="P261" s="3">
        <v>12.7</v>
      </c>
      <c r="Q261" s="4">
        <v>152</v>
      </c>
      <c r="R261" s="4">
        <v>201</v>
      </c>
      <c r="S261" s="8"/>
    </row>
    <row r="262" spans="1:19" x14ac:dyDescent="0.35">
      <c r="A262" s="1"/>
      <c r="B262" s="2"/>
      <c r="C262" s="2"/>
      <c r="D262" s="25" t="s">
        <v>294</v>
      </c>
      <c r="E262" s="4">
        <v>1066.8</v>
      </c>
      <c r="F262" s="4">
        <v>914.4</v>
      </c>
      <c r="G262" s="4">
        <f t="shared" si="20"/>
        <v>1047.74</v>
      </c>
      <c r="H262" s="4">
        <f t="shared" si="20"/>
        <v>895.34</v>
      </c>
      <c r="I262" s="4">
        <f t="shared" si="21"/>
        <v>1041.3999999999999</v>
      </c>
      <c r="J262" s="4">
        <f t="shared" si="21"/>
        <v>889</v>
      </c>
      <c r="K262" s="5">
        <v>609.6</v>
      </c>
      <c r="L262" s="4">
        <f t="shared" si="19"/>
        <v>76.199999999999989</v>
      </c>
      <c r="M262" s="3">
        <v>9.5299999999999994</v>
      </c>
      <c r="N262" s="3">
        <v>9.5299999999999994</v>
      </c>
      <c r="O262" s="3">
        <v>12.7</v>
      </c>
      <c r="P262" s="3">
        <v>12.7</v>
      </c>
      <c r="Q262" s="4">
        <v>152</v>
      </c>
      <c r="R262" s="4">
        <v>201</v>
      </c>
      <c r="S262" s="8"/>
    </row>
    <row r="263" spans="1:19" x14ac:dyDescent="0.35">
      <c r="A263" s="1"/>
      <c r="B263" s="2"/>
      <c r="C263" s="2"/>
      <c r="D263" s="25" t="s">
        <v>295</v>
      </c>
      <c r="E263" s="4">
        <v>1066.8</v>
      </c>
      <c r="F263" s="4">
        <v>965.2</v>
      </c>
      <c r="G263" s="4">
        <f t="shared" si="20"/>
        <v>1047.74</v>
      </c>
      <c r="H263" s="4">
        <f t="shared" si="20"/>
        <v>946.1400000000001</v>
      </c>
      <c r="I263" s="4">
        <f t="shared" si="21"/>
        <v>1041.3999999999999</v>
      </c>
      <c r="J263" s="4">
        <f t="shared" si="21"/>
        <v>939.80000000000007</v>
      </c>
      <c r="K263" s="5">
        <v>609.6</v>
      </c>
      <c r="L263" s="4">
        <f t="shared" si="19"/>
        <v>50.799999999999955</v>
      </c>
      <c r="M263" s="3">
        <v>9.5299999999999994</v>
      </c>
      <c r="N263" s="3">
        <v>9.5299999999999994</v>
      </c>
      <c r="O263" s="3">
        <v>12.7</v>
      </c>
      <c r="P263" s="3">
        <v>12.7</v>
      </c>
      <c r="Q263" s="4">
        <v>152</v>
      </c>
      <c r="R263" s="4">
        <v>201</v>
      </c>
      <c r="S263" s="8"/>
    </row>
    <row r="264" spans="1:19" x14ac:dyDescent="0.35">
      <c r="A264" s="1"/>
      <c r="B264" s="2"/>
      <c r="C264" s="2"/>
      <c r="D264" s="25" t="s">
        <v>296</v>
      </c>
      <c r="E264" s="4">
        <v>1066.8</v>
      </c>
      <c r="F264" s="4">
        <v>1016</v>
      </c>
      <c r="G264" s="4">
        <f t="shared" si="20"/>
        <v>1047.74</v>
      </c>
      <c r="H264" s="4">
        <f t="shared" si="20"/>
        <v>996.94</v>
      </c>
      <c r="I264" s="4">
        <f t="shared" si="21"/>
        <v>1041.3999999999999</v>
      </c>
      <c r="J264" s="4">
        <f t="shared" si="21"/>
        <v>990.6</v>
      </c>
      <c r="K264" s="5">
        <v>609.6</v>
      </c>
      <c r="L264" s="4">
        <f t="shared" si="19"/>
        <v>25.399999999999977</v>
      </c>
      <c r="M264" s="3">
        <v>9.5299999999999994</v>
      </c>
      <c r="N264" s="3">
        <v>9.5299999999999994</v>
      </c>
      <c r="O264" s="3">
        <v>12.7</v>
      </c>
      <c r="P264" s="3">
        <v>12.7</v>
      </c>
      <c r="Q264" s="4">
        <v>152</v>
      </c>
      <c r="R264" s="4">
        <v>201</v>
      </c>
      <c r="S264" s="8"/>
    </row>
    <row r="265" spans="1:19" x14ac:dyDescent="0.35">
      <c r="A265" s="1"/>
      <c r="B265" s="2"/>
      <c r="C265" s="2"/>
      <c r="D265" s="25" t="s">
        <v>297</v>
      </c>
      <c r="E265" s="4">
        <v>1117.5999999999999</v>
      </c>
      <c r="F265" s="4">
        <v>914.4</v>
      </c>
      <c r="G265" s="4">
        <f t="shared" si="20"/>
        <v>1098.54</v>
      </c>
      <c r="H265" s="4">
        <f t="shared" si="20"/>
        <v>895.34</v>
      </c>
      <c r="I265" s="4">
        <f t="shared" si="21"/>
        <v>1092.1999999999998</v>
      </c>
      <c r="J265" s="4">
        <f t="shared" si="21"/>
        <v>889</v>
      </c>
      <c r="K265" s="5">
        <v>609.6</v>
      </c>
      <c r="L265" s="4">
        <f t="shared" si="19"/>
        <v>101.59999999999997</v>
      </c>
      <c r="M265" s="3">
        <v>9.5299999999999994</v>
      </c>
      <c r="N265" s="3">
        <v>9.5299999999999994</v>
      </c>
      <c r="O265" s="3">
        <v>12.7</v>
      </c>
      <c r="P265" s="3">
        <v>12.7</v>
      </c>
      <c r="Q265" s="4">
        <v>159</v>
      </c>
      <c r="R265" s="4">
        <v>211</v>
      </c>
      <c r="S265" s="8"/>
    </row>
    <row r="266" spans="1:19" x14ac:dyDescent="0.35">
      <c r="A266" s="1"/>
      <c r="B266" s="2"/>
      <c r="C266" s="2"/>
      <c r="D266" s="25" t="s">
        <v>298</v>
      </c>
      <c r="E266" s="4">
        <v>1117.5999999999999</v>
      </c>
      <c r="F266" s="4">
        <v>965.2</v>
      </c>
      <c r="G266" s="4">
        <f t="shared" si="20"/>
        <v>1098.54</v>
      </c>
      <c r="H266" s="4">
        <f t="shared" si="20"/>
        <v>946.1400000000001</v>
      </c>
      <c r="I266" s="4">
        <f t="shared" si="21"/>
        <v>1092.1999999999998</v>
      </c>
      <c r="J266" s="4">
        <f t="shared" si="21"/>
        <v>939.80000000000007</v>
      </c>
      <c r="K266" s="5">
        <v>609.6</v>
      </c>
      <c r="L266" s="4">
        <f t="shared" si="19"/>
        <v>76.199999999999932</v>
      </c>
      <c r="M266" s="3">
        <v>9.5299999999999994</v>
      </c>
      <c r="N266" s="3">
        <v>9.5299999999999994</v>
      </c>
      <c r="O266" s="3">
        <v>12.7</v>
      </c>
      <c r="P266" s="3">
        <v>12.7</v>
      </c>
      <c r="Q266" s="4">
        <v>159</v>
      </c>
      <c r="R266" s="4">
        <v>211</v>
      </c>
      <c r="S266" s="8"/>
    </row>
    <row r="267" spans="1:19" x14ac:dyDescent="0.35">
      <c r="A267" s="1"/>
      <c r="B267" s="2"/>
      <c r="C267" s="2"/>
      <c r="D267" s="25" t="s">
        <v>299</v>
      </c>
      <c r="E267" s="4">
        <v>1117.5999999999999</v>
      </c>
      <c r="F267" s="4">
        <v>1016</v>
      </c>
      <c r="G267" s="4">
        <f t="shared" si="20"/>
        <v>1098.54</v>
      </c>
      <c r="H267" s="4">
        <f t="shared" si="20"/>
        <v>996.94</v>
      </c>
      <c r="I267" s="4">
        <f t="shared" si="21"/>
        <v>1092.1999999999998</v>
      </c>
      <c r="J267" s="4">
        <f t="shared" si="21"/>
        <v>990.6</v>
      </c>
      <c r="K267" s="5">
        <v>609.6</v>
      </c>
      <c r="L267" s="4">
        <f t="shared" si="19"/>
        <v>50.799999999999955</v>
      </c>
      <c r="M267" s="3">
        <v>9.5299999999999994</v>
      </c>
      <c r="N267" s="3">
        <v>9.5299999999999994</v>
      </c>
      <c r="O267" s="3">
        <v>12.7</v>
      </c>
      <c r="P267" s="3">
        <v>12.7</v>
      </c>
      <c r="Q267" s="4">
        <v>159</v>
      </c>
      <c r="R267" s="4">
        <v>211</v>
      </c>
      <c r="S267" s="8"/>
    </row>
    <row r="268" spans="1:19" x14ac:dyDescent="0.35">
      <c r="A268" s="1"/>
      <c r="B268" s="2"/>
      <c r="C268" s="2"/>
      <c r="D268" s="25" t="s">
        <v>300</v>
      </c>
      <c r="E268" s="4">
        <v>1117.5999999999999</v>
      </c>
      <c r="F268" s="4">
        <v>1066.8</v>
      </c>
      <c r="G268" s="4">
        <f t="shared" si="20"/>
        <v>1098.54</v>
      </c>
      <c r="H268" s="4">
        <f t="shared" si="20"/>
        <v>1047.74</v>
      </c>
      <c r="I268" s="4">
        <f t="shared" si="21"/>
        <v>1092.1999999999998</v>
      </c>
      <c r="J268" s="4">
        <f t="shared" si="21"/>
        <v>1041.3999999999999</v>
      </c>
      <c r="K268" s="5">
        <v>609.6</v>
      </c>
      <c r="L268" s="4">
        <f t="shared" si="19"/>
        <v>25.399999999999977</v>
      </c>
      <c r="M268" s="3">
        <v>9.5299999999999994</v>
      </c>
      <c r="N268" s="3">
        <v>9.5299999999999994</v>
      </c>
      <c r="O268" s="3">
        <v>12.7</v>
      </c>
      <c r="P268" s="3">
        <v>12.7</v>
      </c>
      <c r="Q268" s="4">
        <v>159</v>
      </c>
      <c r="R268" s="4">
        <v>211</v>
      </c>
      <c r="S268" s="8"/>
    </row>
    <row r="269" spans="1:19" x14ac:dyDescent="0.35">
      <c r="A269" s="1"/>
      <c r="B269" s="2"/>
      <c r="C269" s="2"/>
      <c r="D269" s="25" t="s">
        <v>301</v>
      </c>
      <c r="E269" s="4">
        <v>1168.4000000000001</v>
      </c>
      <c r="F269" s="4">
        <v>965.2</v>
      </c>
      <c r="G269" s="4">
        <f t="shared" si="20"/>
        <v>1149.3400000000001</v>
      </c>
      <c r="H269" s="4">
        <f t="shared" si="20"/>
        <v>946.1400000000001</v>
      </c>
      <c r="I269" s="4">
        <f t="shared" si="21"/>
        <v>1143</v>
      </c>
      <c r="J269" s="4">
        <f t="shared" si="21"/>
        <v>939.80000000000007</v>
      </c>
      <c r="K269" s="5">
        <v>711.2</v>
      </c>
      <c r="L269" s="4">
        <f t="shared" si="19"/>
        <v>101.60000000000002</v>
      </c>
      <c r="M269" s="3">
        <v>9.5299999999999994</v>
      </c>
      <c r="N269" s="3">
        <v>9.5299999999999994</v>
      </c>
      <c r="O269" s="3">
        <v>12.7</v>
      </c>
      <c r="P269" s="3">
        <v>12.7</v>
      </c>
      <c r="Q269" s="4">
        <v>170</v>
      </c>
      <c r="R269" s="4">
        <v>225</v>
      </c>
      <c r="S269" s="8"/>
    </row>
    <row r="270" spans="1:19" x14ac:dyDescent="0.35">
      <c r="A270" s="1"/>
      <c r="B270" s="2"/>
      <c r="C270" s="2"/>
      <c r="D270" s="25" t="s">
        <v>302</v>
      </c>
      <c r="E270" s="4">
        <v>1168.4000000000001</v>
      </c>
      <c r="F270" s="4">
        <v>1016</v>
      </c>
      <c r="G270" s="4">
        <f t="shared" si="20"/>
        <v>1149.3400000000001</v>
      </c>
      <c r="H270" s="4">
        <f t="shared" si="20"/>
        <v>996.94</v>
      </c>
      <c r="I270" s="4">
        <f t="shared" si="21"/>
        <v>1143</v>
      </c>
      <c r="J270" s="4">
        <f t="shared" si="21"/>
        <v>990.6</v>
      </c>
      <c r="K270" s="5">
        <v>711.2</v>
      </c>
      <c r="L270" s="4">
        <f t="shared" si="19"/>
        <v>76.200000000000045</v>
      </c>
      <c r="M270" s="3">
        <v>9.5299999999999994</v>
      </c>
      <c r="N270" s="3">
        <v>9.5299999999999994</v>
      </c>
      <c r="O270" s="3">
        <v>12.7</v>
      </c>
      <c r="P270" s="3">
        <v>12.7</v>
      </c>
      <c r="Q270" s="4">
        <v>170</v>
      </c>
      <c r="R270" s="4">
        <v>225</v>
      </c>
      <c r="S270" s="8"/>
    </row>
    <row r="271" spans="1:19" x14ac:dyDescent="0.35">
      <c r="A271" s="1"/>
      <c r="B271" s="2"/>
      <c r="C271" s="2"/>
      <c r="D271" s="25" t="s">
        <v>303</v>
      </c>
      <c r="E271" s="4">
        <v>1168.4000000000001</v>
      </c>
      <c r="F271" s="4">
        <v>1066.8</v>
      </c>
      <c r="G271" s="4">
        <f t="shared" ref="G271:H276" si="22">E271-2*M271</f>
        <v>1149.3400000000001</v>
      </c>
      <c r="H271" s="4">
        <f t="shared" si="22"/>
        <v>1047.74</v>
      </c>
      <c r="I271" s="4">
        <f t="shared" ref="I271:J276" si="23">E271-2*O271</f>
        <v>1143</v>
      </c>
      <c r="J271" s="4">
        <f t="shared" si="23"/>
        <v>1041.3999999999999</v>
      </c>
      <c r="K271" s="5">
        <v>711.2</v>
      </c>
      <c r="L271" s="4">
        <f t="shared" ref="L271:L276" si="24">E271/2-F271/2</f>
        <v>50.800000000000068</v>
      </c>
      <c r="M271" s="3">
        <v>9.5299999999999994</v>
      </c>
      <c r="N271" s="3">
        <v>9.5299999999999994</v>
      </c>
      <c r="O271" s="3">
        <v>12.7</v>
      </c>
      <c r="P271" s="3">
        <v>12.7</v>
      </c>
      <c r="Q271" s="4">
        <v>170</v>
      </c>
      <c r="R271" s="4">
        <v>225</v>
      </c>
      <c r="S271" s="8"/>
    </row>
    <row r="272" spans="1:19" x14ac:dyDescent="0.35">
      <c r="A272" s="1"/>
      <c r="B272" s="2"/>
      <c r="C272" s="2"/>
      <c r="D272" s="25" t="s">
        <v>304</v>
      </c>
      <c r="E272" s="4">
        <v>1168.4000000000001</v>
      </c>
      <c r="F272" s="4">
        <v>1117.5999999999999</v>
      </c>
      <c r="G272" s="4">
        <f t="shared" si="22"/>
        <v>1149.3400000000001</v>
      </c>
      <c r="H272" s="4">
        <f t="shared" si="22"/>
        <v>1098.54</v>
      </c>
      <c r="I272" s="4">
        <f t="shared" si="23"/>
        <v>1143</v>
      </c>
      <c r="J272" s="4">
        <f t="shared" si="23"/>
        <v>1092.1999999999998</v>
      </c>
      <c r="K272" s="5">
        <v>711.2</v>
      </c>
      <c r="L272" s="4">
        <f t="shared" si="24"/>
        <v>25.400000000000091</v>
      </c>
      <c r="M272" s="3">
        <v>9.5299999999999994</v>
      </c>
      <c r="N272" s="3">
        <v>9.5299999999999994</v>
      </c>
      <c r="O272" s="3">
        <v>12.7</v>
      </c>
      <c r="P272" s="3">
        <v>12.7</v>
      </c>
      <c r="Q272" s="4">
        <v>170</v>
      </c>
      <c r="R272" s="4">
        <v>225</v>
      </c>
      <c r="S272" s="8"/>
    </row>
    <row r="273" spans="1:19" x14ac:dyDescent="0.35">
      <c r="A273" s="1"/>
      <c r="B273" s="2"/>
      <c r="C273" s="2"/>
      <c r="D273" s="25" t="s">
        <v>305</v>
      </c>
      <c r="E273" s="4">
        <v>1219.2</v>
      </c>
      <c r="F273" s="4">
        <v>1016</v>
      </c>
      <c r="G273" s="4">
        <f t="shared" si="22"/>
        <v>1200.1400000000001</v>
      </c>
      <c r="H273" s="4">
        <f t="shared" si="22"/>
        <v>996.94</v>
      </c>
      <c r="I273" s="4">
        <f t="shared" si="23"/>
        <v>1193.8</v>
      </c>
      <c r="J273" s="4">
        <f t="shared" si="23"/>
        <v>990.6</v>
      </c>
      <c r="K273" s="5">
        <v>711.2</v>
      </c>
      <c r="L273" s="4">
        <f t="shared" si="24"/>
        <v>101.60000000000002</v>
      </c>
      <c r="M273" s="3">
        <v>9.5299999999999994</v>
      </c>
      <c r="N273" s="3">
        <v>9.5299999999999994</v>
      </c>
      <c r="O273" s="3">
        <v>12.7</v>
      </c>
      <c r="P273" s="3">
        <v>12.7</v>
      </c>
      <c r="Q273" s="4">
        <v>181</v>
      </c>
      <c r="R273" s="4">
        <v>238</v>
      </c>
      <c r="S273" s="8"/>
    </row>
    <row r="274" spans="1:19" x14ac:dyDescent="0.35">
      <c r="A274" s="1"/>
      <c r="B274" s="2"/>
      <c r="C274" s="2"/>
      <c r="D274" s="25" t="s">
        <v>306</v>
      </c>
      <c r="E274" s="4">
        <v>1219.2</v>
      </c>
      <c r="F274" s="4">
        <v>1066.8</v>
      </c>
      <c r="G274" s="4">
        <f t="shared" si="22"/>
        <v>1200.1400000000001</v>
      </c>
      <c r="H274" s="4">
        <f t="shared" si="22"/>
        <v>1047.74</v>
      </c>
      <c r="I274" s="4">
        <f t="shared" si="23"/>
        <v>1193.8</v>
      </c>
      <c r="J274" s="4">
        <f t="shared" si="23"/>
        <v>1041.3999999999999</v>
      </c>
      <c r="K274" s="5">
        <v>711.2</v>
      </c>
      <c r="L274" s="4">
        <f t="shared" si="24"/>
        <v>76.200000000000045</v>
      </c>
      <c r="M274" s="3">
        <v>9.5299999999999994</v>
      </c>
      <c r="N274" s="3">
        <v>9.5299999999999994</v>
      </c>
      <c r="O274" s="3">
        <v>12.7</v>
      </c>
      <c r="P274" s="3">
        <v>12.7</v>
      </c>
      <c r="Q274" s="4">
        <v>181</v>
      </c>
      <c r="R274" s="4">
        <v>238</v>
      </c>
      <c r="S274" s="8"/>
    </row>
    <row r="275" spans="1:19" x14ac:dyDescent="0.35">
      <c r="A275" s="1"/>
      <c r="B275" s="2"/>
      <c r="C275" s="2"/>
      <c r="D275" s="25" t="s">
        <v>307</v>
      </c>
      <c r="E275" s="4">
        <v>1219.2</v>
      </c>
      <c r="F275" s="4">
        <v>1117.5999999999999</v>
      </c>
      <c r="G275" s="4">
        <f t="shared" si="22"/>
        <v>1200.1400000000001</v>
      </c>
      <c r="H275" s="4">
        <f t="shared" si="22"/>
        <v>1098.54</v>
      </c>
      <c r="I275" s="4">
        <f t="shared" si="23"/>
        <v>1193.8</v>
      </c>
      <c r="J275" s="4">
        <f t="shared" si="23"/>
        <v>1092.1999999999998</v>
      </c>
      <c r="K275" s="5">
        <v>711.2</v>
      </c>
      <c r="L275" s="4">
        <f t="shared" si="24"/>
        <v>50.800000000000068</v>
      </c>
      <c r="M275" s="3">
        <v>9.5299999999999994</v>
      </c>
      <c r="N275" s="3">
        <v>9.5299999999999994</v>
      </c>
      <c r="O275" s="3">
        <v>12.7</v>
      </c>
      <c r="P275" s="3">
        <v>12.7</v>
      </c>
      <c r="Q275" s="4">
        <v>181</v>
      </c>
      <c r="R275" s="4">
        <v>238</v>
      </c>
      <c r="S275" s="8"/>
    </row>
    <row r="276" spans="1:19" x14ac:dyDescent="0.35">
      <c r="A276" s="1"/>
      <c r="B276" s="2"/>
      <c r="C276" s="2"/>
      <c r="D276" s="25" t="s">
        <v>308</v>
      </c>
      <c r="E276" s="4">
        <v>1219.2</v>
      </c>
      <c r="F276" s="4">
        <v>1168.4000000000001</v>
      </c>
      <c r="G276" s="4">
        <f t="shared" si="22"/>
        <v>1200.1400000000001</v>
      </c>
      <c r="H276" s="4">
        <f t="shared" si="22"/>
        <v>1149.3400000000001</v>
      </c>
      <c r="I276" s="4">
        <f t="shared" si="23"/>
        <v>1193.8</v>
      </c>
      <c r="J276" s="4">
        <f t="shared" si="23"/>
        <v>1143</v>
      </c>
      <c r="K276" s="5">
        <v>711.2</v>
      </c>
      <c r="L276" s="4">
        <f t="shared" si="24"/>
        <v>25.399999999999977</v>
      </c>
      <c r="M276" s="3">
        <v>9.5299999999999994</v>
      </c>
      <c r="N276" s="3">
        <v>9.5299999999999994</v>
      </c>
      <c r="O276" s="3">
        <v>12.7</v>
      </c>
      <c r="P276" s="3">
        <v>12.7</v>
      </c>
      <c r="Q276" s="4">
        <v>181</v>
      </c>
      <c r="R276" s="4">
        <v>238</v>
      </c>
      <c r="S276" s="8"/>
    </row>
  </sheetData>
  <mergeCells count="11">
    <mergeCell ref="E173:F173"/>
    <mergeCell ref="G173:H173"/>
    <mergeCell ref="I173:J173"/>
    <mergeCell ref="M173:P173"/>
    <mergeCell ref="Q173:R173"/>
    <mergeCell ref="R1:S1"/>
    <mergeCell ref="E1:F1"/>
    <mergeCell ref="G1:H1"/>
    <mergeCell ref="I1:J1"/>
    <mergeCell ref="K1:N1"/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Medini Kr. Bora [मेदिनी कुमार बोरा]</dc:creator>
  <cp:lastModifiedBy>Medini Kr. Bora [मेदिनी कुमार बोरा]</cp:lastModifiedBy>
  <dcterms:created xsi:type="dcterms:W3CDTF">2015-06-05T18:17:20Z</dcterms:created>
  <dcterms:modified xsi:type="dcterms:W3CDTF">2026-06-25T08:35:04Z</dcterms:modified>
</cp:coreProperties>
</file>