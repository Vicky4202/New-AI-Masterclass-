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ld Desktop Backup\E drive\EED_2025\Cost Estimation\Software\Inhouse\Piping_Data\"/>
    </mc:Choice>
  </mc:AlternateContent>
  <xr:revisionPtr revIDLastSave="0" documentId="13_ncr:1_{F6E54725-2D7A-4614-BABF-3EC91D3686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0" i="1" l="1"/>
  <c r="B320" i="1"/>
  <c r="S319" i="1"/>
  <c r="B319" i="1"/>
  <c r="S318" i="1"/>
  <c r="B318" i="1"/>
  <c r="S317" i="1"/>
  <c r="B317" i="1"/>
  <c r="S316" i="1"/>
  <c r="B316" i="1"/>
  <c r="S315" i="1"/>
  <c r="B315" i="1"/>
  <c r="S314" i="1"/>
  <c r="B314" i="1"/>
  <c r="S313" i="1"/>
  <c r="B313" i="1"/>
  <c r="S312" i="1"/>
  <c r="B312" i="1"/>
  <c r="S311" i="1"/>
  <c r="B311" i="1"/>
  <c r="S310" i="1"/>
  <c r="B310" i="1"/>
  <c r="S309" i="1"/>
  <c r="B309" i="1"/>
  <c r="S308" i="1"/>
  <c r="B308" i="1"/>
  <c r="S307" i="1"/>
  <c r="B307" i="1"/>
  <c r="S306" i="1"/>
  <c r="B306" i="1"/>
  <c r="S305" i="1"/>
  <c r="B305" i="1"/>
  <c r="S304" i="1"/>
  <c r="B304" i="1"/>
  <c r="S303" i="1"/>
  <c r="B303" i="1"/>
  <c r="S302" i="1"/>
  <c r="B302" i="1"/>
  <c r="S301" i="1"/>
  <c r="B301" i="1"/>
  <c r="S300" i="1"/>
  <c r="B300" i="1"/>
  <c r="S299" i="1"/>
  <c r="B299" i="1"/>
  <c r="S298" i="1"/>
  <c r="B298" i="1"/>
  <c r="S297" i="1"/>
  <c r="B297" i="1"/>
  <c r="S296" i="1"/>
  <c r="B296" i="1"/>
  <c r="S295" i="1"/>
  <c r="B295" i="1"/>
  <c r="S294" i="1"/>
  <c r="B294" i="1"/>
  <c r="S293" i="1"/>
  <c r="B293" i="1"/>
  <c r="S292" i="1"/>
  <c r="B292" i="1"/>
  <c r="S291" i="1"/>
  <c r="B291" i="1"/>
  <c r="S290" i="1"/>
  <c r="B290" i="1"/>
  <c r="S289" i="1"/>
  <c r="B289" i="1"/>
  <c r="S288" i="1"/>
  <c r="B288" i="1"/>
  <c r="S287" i="1"/>
  <c r="B287" i="1"/>
  <c r="S286" i="1"/>
  <c r="B286" i="1"/>
  <c r="S285" i="1"/>
  <c r="B285" i="1"/>
  <c r="S284" i="1"/>
  <c r="B284" i="1"/>
  <c r="S283" i="1"/>
  <c r="B283" i="1"/>
  <c r="S282" i="1"/>
  <c r="B282" i="1"/>
  <c r="S281" i="1"/>
  <c r="B281" i="1"/>
  <c r="S280" i="1"/>
  <c r="B280" i="1"/>
  <c r="S279" i="1"/>
  <c r="B279" i="1"/>
  <c r="S278" i="1"/>
  <c r="B278" i="1"/>
  <c r="S277" i="1"/>
  <c r="B277" i="1"/>
  <c r="S276" i="1"/>
  <c r="B276" i="1"/>
  <c r="S275" i="1"/>
  <c r="B275" i="1"/>
  <c r="S274" i="1"/>
  <c r="B274" i="1"/>
  <c r="S273" i="1"/>
  <c r="B273" i="1"/>
  <c r="S272" i="1"/>
  <c r="B272" i="1"/>
  <c r="S271" i="1"/>
  <c r="B271" i="1"/>
  <c r="S270" i="1"/>
  <c r="B270" i="1"/>
  <c r="S269" i="1"/>
  <c r="B269" i="1"/>
  <c r="S268" i="1"/>
  <c r="B268" i="1"/>
  <c r="S267" i="1"/>
  <c r="B267" i="1"/>
  <c r="S266" i="1"/>
  <c r="B266" i="1"/>
  <c r="S265" i="1"/>
  <c r="B265" i="1"/>
  <c r="S264" i="1"/>
  <c r="B264" i="1"/>
  <c r="S263" i="1"/>
  <c r="B263" i="1"/>
  <c r="S262" i="1"/>
  <c r="B262" i="1"/>
  <c r="S261" i="1"/>
  <c r="B261" i="1"/>
  <c r="S260" i="1"/>
  <c r="B260" i="1"/>
  <c r="S259" i="1"/>
  <c r="B259" i="1"/>
  <c r="S258" i="1"/>
  <c r="B258" i="1"/>
  <c r="S257" i="1"/>
  <c r="B257" i="1"/>
  <c r="S256" i="1"/>
  <c r="B256" i="1"/>
  <c r="S255" i="1"/>
  <c r="B255" i="1"/>
  <c r="S254" i="1"/>
  <c r="B254" i="1"/>
  <c r="S253" i="1"/>
  <c r="B253" i="1"/>
  <c r="S252" i="1"/>
  <c r="B252" i="1"/>
  <c r="S251" i="1"/>
  <c r="B251" i="1"/>
  <c r="S250" i="1"/>
  <c r="B250" i="1"/>
  <c r="S249" i="1"/>
  <c r="B249" i="1"/>
  <c r="S248" i="1"/>
  <c r="B248" i="1"/>
  <c r="S247" i="1"/>
  <c r="B247" i="1"/>
  <c r="S246" i="1"/>
  <c r="B246" i="1"/>
  <c r="S245" i="1"/>
  <c r="B245" i="1"/>
  <c r="S244" i="1"/>
  <c r="B244" i="1"/>
  <c r="S243" i="1"/>
  <c r="B243" i="1"/>
  <c r="S242" i="1"/>
  <c r="B242" i="1"/>
  <c r="S241" i="1"/>
  <c r="B241" i="1"/>
  <c r="S240" i="1"/>
  <c r="B240" i="1"/>
  <c r="S239" i="1"/>
  <c r="B239" i="1"/>
  <c r="S238" i="1"/>
  <c r="B238" i="1"/>
  <c r="S237" i="1"/>
  <c r="B237" i="1"/>
  <c r="S236" i="1"/>
  <c r="B236" i="1"/>
  <c r="S235" i="1"/>
  <c r="B235" i="1"/>
  <c r="S234" i="1"/>
  <c r="B234" i="1"/>
  <c r="S233" i="1"/>
  <c r="B233" i="1"/>
  <c r="S232" i="1"/>
  <c r="B232" i="1"/>
  <c r="S231" i="1"/>
  <c r="B231" i="1"/>
  <c r="S230" i="1"/>
  <c r="B230" i="1"/>
  <c r="S229" i="1"/>
  <c r="B229" i="1"/>
  <c r="S228" i="1"/>
  <c r="B228" i="1"/>
  <c r="S227" i="1"/>
  <c r="B227" i="1"/>
  <c r="S226" i="1"/>
  <c r="B226" i="1"/>
  <c r="S225" i="1"/>
  <c r="B225" i="1"/>
  <c r="S224" i="1"/>
  <c r="B224" i="1"/>
  <c r="S223" i="1"/>
  <c r="B223" i="1"/>
  <c r="S222" i="1"/>
  <c r="B222" i="1"/>
  <c r="S221" i="1"/>
  <c r="B221" i="1"/>
  <c r="S220" i="1"/>
  <c r="B220" i="1"/>
  <c r="S219" i="1"/>
  <c r="B219" i="1"/>
  <c r="S218" i="1"/>
  <c r="B218" i="1"/>
  <c r="S217" i="1"/>
  <c r="B217" i="1"/>
  <c r="S216" i="1"/>
  <c r="B216" i="1"/>
  <c r="S215" i="1"/>
  <c r="B215" i="1"/>
  <c r="S214" i="1"/>
  <c r="B214" i="1"/>
  <c r="S213" i="1"/>
  <c r="B213" i="1"/>
  <c r="S212" i="1"/>
  <c r="B212" i="1"/>
  <c r="S211" i="1"/>
  <c r="B211" i="1"/>
  <c r="S210" i="1"/>
  <c r="B210" i="1"/>
  <c r="S209" i="1"/>
  <c r="B209" i="1"/>
  <c r="S208" i="1"/>
  <c r="B208" i="1"/>
  <c r="S207" i="1"/>
  <c r="B207" i="1"/>
  <c r="S206" i="1"/>
  <c r="B206" i="1"/>
  <c r="S205" i="1"/>
  <c r="B205" i="1"/>
  <c r="S204" i="1"/>
  <c r="B204" i="1"/>
  <c r="S203" i="1"/>
  <c r="B203" i="1"/>
  <c r="S202" i="1"/>
  <c r="B202" i="1"/>
  <c r="S201" i="1"/>
  <c r="B201" i="1"/>
  <c r="S200" i="1"/>
  <c r="B200" i="1"/>
  <c r="S199" i="1"/>
  <c r="B199" i="1"/>
  <c r="S198" i="1"/>
  <c r="B198" i="1"/>
  <c r="S197" i="1"/>
  <c r="B197" i="1"/>
  <c r="S196" i="1"/>
  <c r="B196" i="1"/>
  <c r="S195" i="1"/>
  <c r="B195" i="1"/>
  <c r="S194" i="1"/>
  <c r="B194" i="1"/>
  <c r="S193" i="1"/>
  <c r="B193" i="1"/>
  <c r="S192" i="1"/>
  <c r="B192" i="1"/>
  <c r="S191" i="1"/>
  <c r="B191" i="1"/>
  <c r="S190" i="1"/>
  <c r="B190" i="1"/>
  <c r="S189" i="1"/>
  <c r="B189" i="1"/>
  <c r="S188" i="1"/>
  <c r="B188" i="1"/>
  <c r="S187" i="1"/>
  <c r="B187" i="1"/>
  <c r="S186" i="1"/>
  <c r="B186" i="1"/>
  <c r="S185" i="1"/>
  <c r="B185" i="1"/>
  <c r="S184" i="1"/>
  <c r="B184" i="1"/>
  <c r="S183" i="1"/>
  <c r="B183" i="1"/>
  <c r="S182" i="1"/>
  <c r="B182" i="1"/>
  <c r="S181" i="1"/>
  <c r="B181" i="1"/>
  <c r="S180" i="1"/>
  <c r="B180" i="1"/>
  <c r="S179" i="1"/>
  <c r="B179" i="1"/>
  <c r="S178" i="1"/>
  <c r="B178" i="1"/>
  <c r="S177" i="1"/>
  <c r="B177" i="1"/>
  <c r="S176" i="1"/>
  <c r="B176" i="1"/>
  <c r="S175" i="1"/>
  <c r="B175" i="1"/>
  <c r="S174" i="1"/>
  <c r="B174" i="1"/>
  <c r="S173" i="1"/>
  <c r="B173" i="1"/>
  <c r="S172" i="1"/>
  <c r="B172" i="1"/>
  <c r="S171" i="1"/>
  <c r="B171" i="1"/>
  <c r="S170" i="1"/>
  <c r="B170" i="1"/>
  <c r="S169" i="1"/>
  <c r="B169" i="1"/>
  <c r="S168" i="1"/>
  <c r="B168" i="1"/>
  <c r="S167" i="1"/>
  <c r="B167" i="1"/>
  <c r="S166" i="1"/>
  <c r="B166" i="1"/>
  <c r="S165" i="1"/>
  <c r="B165" i="1"/>
  <c r="S164" i="1"/>
  <c r="B164" i="1"/>
  <c r="S163" i="1"/>
  <c r="B163" i="1"/>
  <c r="S162" i="1"/>
  <c r="B162" i="1"/>
  <c r="S161" i="1"/>
  <c r="B161" i="1"/>
  <c r="S160" i="1"/>
  <c r="B160" i="1"/>
  <c r="S159" i="1"/>
  <c r="B159" i="1"/>
  <c r="S158" i="1"/>
  <c r="B158" i="1"/>
  <c r="S157" i="1"/>
  <c r="B157" i="1"/>
  <c r="S156" i="1"/>
  <c r="B156" i="1"/>
  <c r="S155" i="1"/>
  <c r="B155" i="1"/>
  <c r="S154" i="1"/>
  <c r="B154" i="1"/>
  <c r="S153" i="1"/>
  <c r="B153" i="1"/>
  <c r="S152" i="1"/>
  <c r="B152" i="1"/>
  <c r="S151" i="1"/>
  <c r="B151" i="1"/>
  <c r="S150" i="1"/>
  <c r="B150" i="1"/>
  <c r="S149" i="1"/>
  <c r="B149" i="1"/>
  <c r="S148" i="1"/>
  <c r="B148" i="1"/>
  <c r="S147" i="1"/>
  <c r="B147" i="1"/>
  <c r="S146" i="1"/>
  <c r="B146" i="1"/>
  <c r="S145" i="1"/>
  <c r="B145" i="1"/>
  <c r="S144" i="1"/>
  <c r="B144" i="1"/>
  <c r="S143" i="1"/>
  <c r="B143" i="1"/>
  <c r="S142" i="1"/>
  <c r="B142" i="1"/>
  <c r="S141" i="1"/>
  <c r="B141" i="1"/>
  <c r="S140" i="1"/>
  <c r="B140" i="1"/>
  <c r="S139" i="1"/>
  <c r="B139" i="1"/>
  <c r="S138" i="1"/>
  <c r="B138" i="1"/>
  <c r="S137" i="1"/>
  <c r="B137" i="1"/>
  <c r="S136" i="1"/>
  <c r="B136" i="1"/>
  <c r="S135" i="1"/>
  <c r="B135" i="1"/>
  <c r="S134" i="1"/>
  <c r="B134" i="1"/>
  <c r="S133" i="1"/>
  <c r="B133" i="1"/>
  <c r="S132" i="1"/>
  <c r="B132" i="1"/>
  <c r="S131" i="1"/>
  <c r="B131" i="1"/>
  <c r="S130" i="1"/>
  <c r="B130" i="1"/>
  <c r="S129" i="1"/>
  <c r="B129" i="1"/>
  <c r="S128" i="1"/>
  <c r="B128" i="1"/>
  <c r="S127" i="1"/>
  <c r="B127" i="1"/>
  <c r="S126" i="1"/>
  <c r="B126" i="1"/>
  <c r="S125" i="1"/>
  <c r="B125" i="1"/>
  <c r="S124" i="1"/>
  <c r="B124" i="1"/>
  <c r="S123" i="1"/>
  <c r="B123" i="1"/>
  <c r="S122" i="1"/>
  <c r="B122" i="1"/>
  <c r="S121" i="1"/>
  <c r="B121" i="1"/>
  <c r="S120" i="1"/>
  <c r="B120" i="1"/>
  <c r="S119" i="1"/>
  <c r="B119" i="1"/>
  <c r="S118" i="1"/>
  <c r="B118" i="1"/>
  <c r="S117" i="1"/>
  <c r="B117" i="1"/>
  <c r="S116" i="1"/>
  <c r="B116" i="1"/>
  <c r="S115" i="1"/>
  <c r="B115" i="1"/>
  <c r="S114" i="1"/>
  <c r="B114" i="1"/>
  <c r="S113" i="1"/>
  <c r="B113" i="1"/>
  <c r="S112" i="1"/>
  <c r="B112" i="1"/>
  <c r="S111" i="1"/>
  <c r="B111" i="1"/>
  <c r="S110" i="1"/>
  <c r="B110" i="1"/>
  <c r="S109" i="1"/>
  <c r="B109" i="1"/>
  <c r="S108" i="1"/>
  <c r="B108" i="1"/>
  <c r="S107" i="1"/>
  <c r="B107" i="1"/>
  <c r="S106" i="1"/>
  <c r="B106" i="1"/>
  <c r="S105" i="1"/>
  <c r="B105" i="1"/>
  <c r="S104" i="1"/>
  <c r="B104" i="1"/>
  <c r="S103" i="1"/>
  <c r="B103" i="1"/>
  <c r="S102" i="1"/>
  <c r="B102" i="1"/>
  <c r="S101" i="1"/>
  <c r="B101" i="1"/>
  <c r="S100" i="1"/>
  <c r="B100" i="1"/>
  <c r="S99" i="1"/>
  <c r="B99" i="1"/>
  <c r="S98" i="1"/>
  <c r="B98" i="1"/>
  <c r="S97" i="1"/>
  <c r="B97" i="1"/>
  <c r="S96" i="1"/>
  <c r="B96" i="1"/>
  <c r="S95" i="1"/>
  <c r="B95" i="1"/>
  <c r="S94" i="1"/>
  <c r="B94" i="1"/>
  <c r="S93" i="1"/>
  <c r="B93" i="1"/>
  <c r="S92" i="1"/>
  <c r="B92" i="1"/>
  <c r="S91" i="1"/>
  <c r="B91" i="1"/>
  <c r="S90" i="1"/>
  <c r="B90" i="1"/>
  <c r="S89" i="1"/>
  <c r="B89" i="1"/>
  <c r="S88" i="1"/>
  <c r="B88" i="1"/>
  <c r="S87" i="1"/>
  <c r="B87" i="1"/>
  <c r="S86" i="1"/>
  <c r="B86" i="1"/>
  <c r="S85" i="1"/>
  <c r="B85" i="1"/>
  <c r="S84" i="1"/>
  <c r="B84" i="1"/>
  <c r="S83" i="1"/>
  <c r="B83" i="1"/>
  <c r="S82" i="1"/>
  <c r="B82" i="1"/>
  <c r="S81" i="1"/>
  <c r="B81" i="1"/>
  <c r="S80" i="1"/>
  <c r="B80" i="1"/>
  <c r="S79" i="1"/>
  <c r="B79" i="1"/>
  <c r="S78" i="1"/>
  <c r="B78" i="1"/>
  <c r="S77" i="1"/>
  <c r="B77" i="1"/>
  <c r="S76" i="1"/>
  <c r="B76" i="1"/>
  <c r="S75" i="1"/>
  <c r="B75" i="1"/>
  <c r="S74" i="1"/>
  <c r="B74" i="1"/>
  <c r="S73" i="1"/>
  <c r="B73" i="1"/>
  <c r="S72" i="1"/>
  <c r="B72" i="1"/>
  <c r="S71" i="1"/>
  <c r="B71" i="1"/>
  <c r="S70" i="1"/>
  <c r="B70" i="1"/>
  <c r="S69" i="1"/>
  <c r="B69" i="1"/>
  <c r="S68" i="1"/>
  <c r="B68" i="1"/>
  <c r="S67" i="1"/>
  <c r="B67" i="1"/>
  <c r="S66" i="1"/>
  <c r="B66" i="1"/>
  <c r="S65" i="1"/>
  <c r="B65" i="1"/>
  <c r="S64" i="1"/>
  <c r="B64" i="1"/>
  <c r="S63" i="1"/>
  <c r="B63" i="1"/>
  <c r="S62" i="1"/>
  <c r="B62" i="1"/>
  <c r="S61" i="1"/>
  <c r="B61" i="1"/>
  <c r="S60" i="1"/>
  <c r="B60" i="1"/>
  <c r="S59" i="1"/>
  <c r="B59" i="1"/>
  <c r="S58" i="1"/>
  <c r="B58" i="1"/>
  <c r="S57" i="1"/>
  <c r="B57" i="1"/>
  <c r="S56" i="1"/>
  <c r="B56" i="1"/>
  <c r="S55" i="1"/>
  <c r="B55" i="1"/>
  <c r="S54" i="1"/>
  <c r="B54" i="1"/>
  <c r="S53" i="1"/>
  <c r="B53" i="1"/>
  <c r="S52" i="1"/>
  <c r="B52" i="1"/>
  <c r="S51" i="1"/>
  <c r="B51" i="1"/>
  <c r="S50" i="1"/>
  <c r="B50" i="1"/>
  <c r="S49" i="1"/>
  <c r="B49" i="1"/>
  <c r="S48" i="1"/>
  <c r="B48" i="1"/>
  <c r="S47" i="1"/>
  <c r="B47" i="1"/>
  <c r="S46" i="1"/>
  <c r="B46" i="1"/>
  <c r="S45" i="1"/>
  <c r="B45" i="1"/>
  <c r="S44" i="1"/>
  <c r="B44" i="1"/>
  <c r="S43" i="1"/>
  <c r="B43" i="1"/>
  <c r="S42" i="1"/>
  <c r="B42" i="1"/>
  <c r="S41" i="1"/>
  <c r="B41" i="1"/>
  <c r="S40" i="1"/>
  <c r="B40" i="1"/>
  <c r="S39" i="1"/>
  <c r="B39" i="1"/>
  <c r="S38" i="1"/>
  <c r="B38" i="1"/>
  <c r="S37" i="1"/>
  <c r="B37" i="1"/>
  <c r="S36" i="1"/>
  <c r="B36" i="1"/>
  <c r="S35" i="1"/>
  <c r="B35" i="1"/>
  <c r="S34" i="1"/>
  <c r="B34" i="1"/>
  <c r="S33" i="1"/>
  <c r="B33" i="1"/>
  <c r="S32" i="1"/>
  <c r="B32" i="1"/>
  <c r="S31" i="1"/>
  <c r="B31" i="1"/>
  <c r="S30" i="1"/>
  <c r="B30" i="1"/>
  <c r="S29" i="1"/>
  <c r="B29" i="1"/>
  <c r="S28" i="1"/>
  <c r="B28" i="1"/>
  <c r="S27" i="1"/>
  <c r="B27" i="1"/>
  <c r="S26" i="1"/>
  <c r="B26" i="1"/>
  <c r="S25" i="1"/>
  <c r="B25" i="1"/>
  <c r="S24" i="1"/>
  <c r="B24" i="1"/>
  <c r="S23" i="1"/>
  <c r="B23" i="1"/>
  <c r="S22" i="1"/>
  <c r="B22" i="1"/>
  <c r="S21" i="1"/>
  <c r="B21" i="1"/>
  <c r="S20" i="1"/>
  <c r="B20" i="1"/>
  <c r="S19" i="1"/>
  <c r="B19" i="1"/>
  <c r="S18" i="1"/>
  <c r="B18" i="1"/>
  <c r="S17" i="1"/>
  <c r="B17" i="1"/>
  <c r="S16" i="1"/>
  <c r="B16" i="1"/>
  <c r="S15" i="1"/>
  <c r="B15" i="1"/>
  <c r="S14" i="1"/>
  <c r="B14" i="1"/>
  <c r="S13" i="1"/>
  <c r="B13" i="1"/>
  <c r="S12" i="1"/>
  <c r="B12" i="1"/>
  <c r="S11" i="1"/>
  <c r="B11" i="1"/>
  <c r="S10" i="1"/>
  <c r="B10" i="1"/>
  <c r="S9" i="1"/>
  <c r="B9" i="1"/>
  <c r="S8" i="1"/>
  <c r="B8" i="1"/>
  <c r="S7" i="1"/>
  <c r="B7" i="1"/>
  <c r="S6" i="1"/>
  <c r="B6" i="1"/>
  <c r="S5" i="1"/>
  <c r="B5" i="1"/>
  <c r="S4" i="1"/>
  <c r="B4" i="1"/>
  <c r="S3" i="1"/>
  <c r="B3" i="1"/>
</calcChain>
</file>

<file path=xl/sharedStrings.xml><?xml version="1.0" encoding="utf-8"?>
<sst xmlns="http://schemas.openxmlformats.org/spreadsheetml/2006/main" count="1681" uniqueCount="114">
  <si>
    <t>Data WN fanges</t>
  </si>
  <si>
    <t xml:space="preserve"> </t>
  </si>
  <si>
    <t>Size</t>
  </si>
  <si>
    <t>Fl. diam.</t>
  </si>
  <si>
    <t>Fl. height</t>
  </si>
  <si>
    <t>Fl. thickn.</t>
  </si>
  <si>
    <t>Diam. RF</t>
  </si>
  <si>
    <t>Pitch circle</t>
  </si>
  <si>
    <t>No. of bolts</t>
  </si>
  <si>
    <t>Bolt hole</t>
  </si>
  <si>
    <t>Diam. Hub</t>
  </si>
  <si>
    <t>RF height</t>
  </si>
  <si>
    <t>Round of</t>
  </si>
  <si>
    <t>Gasket th.</t>
  </si>
  <si>
    <t>Stud length</t>
  </si>
  <si>
    <t>Bolt</t>
  </si>
  <si>
    <t>Nut height</t>
  </si>
  <si>
    <t>Weight</t>
  </si>
  <si>
    <t>Type / Size / Rating</t>
  </si>
  <si>
    <t>Type</t>
  </si>
  <si>
    <t>Rating</t>
  </si>
  <si>
    <t>Norm</t>
  </si>
  <si>
    <t>NPS</t>
  </si>
  <si>
    <t>DN</t>
  </si>
  <si>
    <t>D</t>
  </si>
  <si>
    <t>H</t>
  </si>
  <si>
    <t>b</t>
  </si>
  <si>
    <t>d1</t>
  </si>
  <si>
    <t>k</t>
  </si>
  <si>
    <t>n</t>
  </si>
  <si>
    <t>d2</t>
  </si>
  <si>
    <t>d3</t>
  </si>
  <si>
    <t>f</t>
  </si>
  <si>
    <t>r</t>
  </si>
  <si>
    <t>g</t>
  </si>
  <si>
    <t>L</t>
  </si>
  <si>
    <t>bt</t>
  </si>
  <si>
    <t>m</t>
  </si>
  <si>
    <t>W</t>
  </si>
  <si>
    <t>WNRF</t>
  </si>
  <si>
    <t>ANSI B16.5</t>
  </si>
  <si>
    <t>26"</t>
  </si>
  <si>
    <t>-</t>
  </si>
  <si>
    <t>M33</t>
  </si>
  <si>
    <t>28"</t>
  </si>
  <si>
    <t>30"</t>
  </si>
  <si>
    <t>32"</t>
  </si>
  <si>
    <t>M36</t>
  </si>
  <si>
    <t>34"</t>
  </si>
  <si>
    <t>36"</t>
  </si>
  <si>
    <t>38"</t>
  </si>
  <si>
    <t>40"</t>
  </si>
  <si>
    <t>42"</t>
  </si>
  <si>
    <t>44"</t>
  </si>
  <si>
    <t>46"</t>
  </si>
  <si>
    <t>48"</t>
  </si>
  <si>
    <t>50"</t>
  </si>
  <si>
    <t>M39</t>
  </si>
  <si>
    <t>52"</t>
  </si>
  <si>
    <t>54"</t>
  </si>
  <si>
    <t>60"</t>
  </si>
  <si>
    <t xml:space="preserve"> 150#</t>
  </si>
  <si>
    <t>1/2"</t>
  </si>
  <si>
    <t>M12</t>
  </si>
  <si>
    <t>3/4"</t>
  </si>
  <si>
    <t>1"</t>
  </si>
  <si>
    <t>1½"</t>
  </si>
  <si>
    <t>2"</t>
  </si>
  <si>
    <t>M16</t>
  </si>
  <si>
    <t>3"</t>
  </si>
  <si>
    <t>4"</t>
  </si>
  <si>
    <t>5"</t>
  </si>
  <si>
    <t>M20</t>
  </si>
  <si>
    <t>6"</t>
  </si>
  <si>
    <t>8"</t>
  </si>
  <si>
    <t>10"</t>
  </si>
  <si>
    <t>M24</t>
  </si>
  <si>
    <t>12"</t>
  </si>
  <si>
    <t>14"</t>
  </si>
  <si>
    <t>M27</t>
  </si>
  <si>
    <t>16"</t>
  </si>
  <si>
    <t>18"</t>
  </si>
  <si>
    <t>M30</t>
  </si>
  <si>
    <t>20"</t>
  </si>
  <si>
    <t>22"</t>
  </si>
  <si>
    <t>24"</t>
  </si>
  <si>
    <t xml:space="preserve"> 300#</t>
  </si>
  <si>
    <t>M42</t>
  </si>
  <si>
    <t>M45</t>
  </si>
  <si>
    <t>M48</t>
  </si>
  <si>
    <t>M52</t>
  </si>
  <si>
    <t xml:space="preserve"> 400#</t>
  </si>
  <si>
    <t xml:space="preserve"> 600#</t>
  </si>
  <si>
    <t>M56</t>
  </si>
  <si>
    <t>M64</t>
  </si>
  <si>
    <t>M68</t>
  </si>
  <si>
    <t xml:space="preserve"> 900#</t>
  </si>
  <si>
    <t xml:space="preserve"> 1500#</t>
  </si>
  <si>
    <t>M60</t>
  </si>
  <si>
    <t>M76</t>
  </si>
  <si>
    <t>M80</t>
  </si>
  <si>
    <t xml:space="preserve"> 2500#</t>
  </si>
  <si>
    <t>M22</t>
  </si>
  <si>
    <t>ANSI B16.47-API 605</t>
  </si>
  <si>
    <t>56"</t>
  </si>
  <si>
    <t>58"</t>
  </si>
  <si>
    <t>M72</t>
  </si>
  <si>
    <t>M85</t>
  </si>
  <si>
    <t>M90</t>
  </si>
  <si>
    <t>M95</t>
  </si>
  <si>
    <t>ANSI B16.47-MSS SP-44</t>
  </si>
  <si>
    <t>M75</t>
  </si>
  <si>
    <t>M100</t>
  </si>
  <si>
    <t>BS 3293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</si>
</sst>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2" fillId="0" borderId="0" xfId="0" quotePrefix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justify"/>
    </xf>
    <xf numFmtId="2" fontId="2" fillId="0" borderId="0" xfId="0" applyNumberFormat="1" applyFont="1"/>
    <xf numFmtId="0" fontId="4" fillId="2" borderId="0" xfId="0" applyFont="1" applyFill="1"/>
    <xf numFmtId="0" fontId="5" fillId="2" borderId="1" xfId="0" applyFont="1" applyFill="1" applyBorder="1" applyAlignment="1">
      <alignment horizontal="left" vertical="center"/>
    </xf>
    <xf numFmtId="16" fontId="4" fillId="3" borderId="2" xfId="0" applyNumberFormat="1" applyFont="1" applyFill="1" applyBorder="1" applyAlignment="1">
      <alignment horizontal="left"/>
    </xf>
    <xf numFmtId="16" fontId="4" fillId="0" borderId="2" xfId="0" applyNumberFormat="1" applyFont="1" applyBorder="1" applyAlignment="1">
      <alignment horizontal="left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1" fontId="5" fillId="2" borderId="0" xfId="0" applyNumberFormat="1" applyFont="1" applyFill="1" applyAlignment="1">
      <alignment horizontal="center"/>
    </xf>
    <xf numFmtId="1" fontId="5" fillId="2" borderId="1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1" fontId="4" fillId="0" borderId="0" xfId="0" quotePrefix="1" applyNumberFormat="1" applyFont="1" applyAlignment="1">
      <alignment horizontal="center"/>
    </xf>
    <xf numFmtId="1" fontId="4" fillId="0" borderId="0" xfId="0" applyNumberFormat="1" applyFont="1"/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59"/>
  <sheetViews>
    <sheetView tabSelected="1" workbookViewId="0">
      <selection activeCell="E10" sqref="E10"/>
    </sheetView>
  </sheetViews>
  <sheetFormatPr defaultColWidth="7.7265625" defaultRowHeight="12.5" x14ac:dyDescent="0.25"/>
  <cols>
    <col min="1" max="1" width="6.7265625" style="6" customWidth="1"/>
    <col min="2" max="2" width="37.6328125" style="24" customWidth="1"/>
    <col min="3" max="3" width="6.08984375" style="15" bestFit="1" customWidth="1"/>
    <col min="4" max="4" width="11.54296875" style="37" customWidth="1"/>
    <col min="5" max="5" width="24.1796875" style="10" customWidth="1"/>
    <col min="6" max="6" width="14.7265625" style="28" customWidth="1"/>
    <col min="7" max="8" width="12.7265625" style="6" customWidth="1"/>
    <col min="9" max="9" width="12.7265625" style="10" customWidth="1"/>
    <col min="10" max="12" width="12.7265625" style="6" customWidth="1"/>
    <col min="13" max="13" width="12.7265625" style="34" customWidth="1"/>
    <col min="14" max="18" width="12.7265625" style="6" customWidth="1"/>
    <col min="19" max="20" width="12.7265625" style="24" customWidth="1"/>
    <col min="21" max="31" width="12.7265625" style="6" customWidth="1"/>
    <col min="32" max="256" width="7.7265625" style="6"/>
    <col min="257" max="257" width="6.7265625" style="6" customWidth="1"/>
    <col min="258" max="258" width="42.81640625" style="6" customWidth="1"/>
    <col min="259" max="259" width="21.453125" style="6" customWidth="1"/>
    <col min="260" max="260" width="11.54296875" style="6" customWidth="1"/>
    <col min="261" max="261" width="24.1796875" style="6" customWidth="1"/>
    <col min="262" max="262" width="14.7265625" style="6" customWidth="1"/>
    <col min="263" max="287" width="12.7265625" style="6" customWidth="1"/>
    <col min="288" max="512" width="7.7265625" style="6"/>
    <col min="513" max="513" width="6.7265625" style="6" customWidth="1"/>
    <col min="514" max="514" width="42.81640625" style="6" customWidth="1"/>
    <col min="515" max="515" width="21.453125" style="6" customWidth="1"/>
    <col min="516" max="516" width="11.54296875" style="6" customWidth="1"/>
    <col min="517" max="517" width="24.1796875" style="6" customWidth="1"/>
    <col min="518" max="518" width="14.7265625" style="6" customWidth="1"/>
    <col min="519" max="543" width="12.7265625" style="6" customWidth="1"/>
    <col min="544" max="768" width="7.7265625" style="6"/>
    <col min="769" max="769" width="6.7265625" style="6" customWidth="1"/>
    <col min="770" max="770" width="42.81640625" style="6" customWidth="1"/>
    <col min="771" max="771" width="21.453125" style="6" customWidth="1"/>
    <col min="772" max="772" width="11.54296875" style="6" customWidth="1"/>
    <col min="773" max="773" width="24.1796875" style="6" customWidth="1"/>
    <col min="774" max="774" width="14.7265625" style="6" customWidth="1"/>
    <col min="775" max="799" width="12.7265625" style="6" customWidth="1"/>
    <col min="800" max="1024" width="7.7265625" style="6"/>
    <col min="1025" max="1025" width="6.7265625" style="6" customWidth="1"/>
    <col min="1026" max="1026" width="42.81640625" style="6" customWidth="1"/>
    <col min="1027" max="1027" width="21.453125" style="6" customWidth="1"/>
    <col min="1028" max="1028" width="11.54296875" style="6" customWidth="1"/>
    <col min="1029" max="1029" width="24.1796875" style="6" customWidth="1"/>
    <col min="1030" max="1030" width="14.7265625" style="6" customWidth="1"/>
    <col min="1031" max="1055" width="12.7265625" style="6" customWidth="1"/>
    <col min="1056" max="1280" width="7.7265625" style="6"/>
    <col min="1281" max="1281" width="6.7265625" style="6" customWidth="1"/>
    <col min="1282" max="1282" width="42.81640625" style="6" customWidth="1"/>
    <col min="1283" max="1283" width="21.453125" style="6" customWidth="1"/>
    <col min="1284" max="1284" width="11.54296875" style="6" customWidth="1"/>
    <col min="1285" max="1285" width="24.1796875" style="6" customWidth="1"/>
    <col min="1286" max="1286" width="14.7265625" style="6" customWidth="1"/>
    <col min="1287" max="1311" width="12.7265625" style="6" customWidth="1"/>
    <col min="1312" max="1536" width="7.7265625" style="6"/>
    <col min="1537" max="1537" width="6.7265625" style="6" customWidth="1"/>
    <col min="1538" max="1538" width="42.81640625" style="6" customWidth="1"/>
    <col min="1539" max="1539" width="21.453125" style="6" customWidth="1"/>
    <col min="1540" max="1540" width="11.54296875" style="6" customWidth="1"/>
    <col min="1541" max="1541" width="24.1796875" style="6" customWidth="1"/>
    <col min="1542" max="1542" width="14.7265625" style="6" customWidth="1"/>
    <col min="1543" max="1567" width="12.7265625" style="6" customWidth="1"/>
    <col min="1568" max="1792" width="7.7265625" style="6"/>
    <col min="1793" max="1793" width="6.7265625" style="6" customWidth="1"/>
    <col min="1794" max="1794" width="42.81640625" style="6" customWidth="1"/>
    <col min="1795" max="1795" width="21.453125" style="6" customWidth="1"/>
    <col min="1796" max="1796" width="11.54296875" style="6" customWidth="1"/>
    <col min="1797" max="1797" width="24.1796875" style="6" customWidth="1"/>
    <col min="1798" max="1798" width="14.7265625" style="6" customWidth="1"/>
    <col min="1799" max="1823" width="12.7265625" style="6" customWidth="1"/>
    <col min="1824" max="2048" width="7.7265625" style="6"/>
    <col min="2049" max="2049" width="6.7265625" style="6" customWidth="1"/>
    <col min="2050" max="2050" width="42.81640625" style="6" customWidth="1"/>
    <col min="2051" max="2051" width="21.453125" style="6" customWidth="1"/>
    <col min="2052" max="2052" width="11.54296875" style="6" customWidth="1"/>
    <col min="2053" max="2053" width="24.1796875" style="6" customWidth="1"/>
    <col min="2054" max="2054" width="14.7265625" style="6" customWidth="1"/>
    <col min="2055" max="2079" width="12.7265625" style="6" customWidth="1"/>
    <col min="2080" max="2304" width="7.7265625" style="6"/>
    <col min="2305" max="2305" width="6.7265625" style="6" customWidth="1"/>
    <col min="2306" max="2306" width="42.81640625" style="6" customWidth="1"/>
    <col min="2307" max="2307" width="21.453125" style="6" customWidth="1"/>
    <col min="2308" max="2308" width="11.54296875" style="6" customWidth="1"/>
    <col min="2309" max="2309" width="24.1796875" style="6" customWidth="1"/>
    <col min="2310" max="2310" width="14.7265625" style="6" customWidth="1"/>
    <col min="2311" max="2335" width="12.7265625" style="6" customWidth="1"/>
    <col min="2336" max="2560" width="7.7265625" style="6"/>
    <col min="2561" max="2561" width="6.7265625" style="6" customWidth="1"/>
    <col min="2562" max="2562" width="42.81640625" style="6" customWidth="1"/>
    <col min="2563" max="2563" width="21.453125" style="6" customWidth="1"/>
    <col min="2564" max="2564" width="11.54296875" style="6" customWidth="1"/>
    <col min="2565" max="2565" width="24.1796875" style="6" customWidth="1"/>
    <col min="2566" max="2566" width="14.7265625" style="6" customWidth="1"/>
    <col min="2567" max="2591" width="12.7265625" style="6" customWidth="1"/>
    <col min="2592" max="2816" width="7.7265625" style="6"/>
    <col min="2817" max="2817" width="6.7265625" style="6" customWidth="1"/>
    <col min="2818" max="2818" width="42.81640625" style="6" customWidth="1"/>
    <col min="2819" max="2819" width="21.453125" style="6" customWidth="1"/>
    <col min="2820" max="2820" width="11.54296875" style="6" customWidth="1"/>
    <col min="2821" max="2821" width="24.1796875" style="6" customWidth="1"/>
    <col min="2822" max="2822" width="14.7265625" style="6" customWidth="1"/>
    <col min="2823" max="2847" width="12.7265625" style="6" customWidth="1"/>
    <col min="2848" max="3072" width="7.7265625" style="6"/>
    <col min="3073" max="3073" width="6.7265625" style="6" customWidth="1"/>
    <col min="3074" max="3074" width="42.81640625" style="6" customWidth="1"/>
    <col min="3075" max="3075" width="21.453125" style="6" customWidth="1"/>
    <col min="3076" max="3076" width="11.54296875" style="6" customWidth="1"/>
    <col min="3077" max="3077" width="24.1796875" style="6" customWidth="1"/>
    <col min="3078" max="3078" width="14.7265625" style="6" customWidth="1"/>
    <col min="3079" max="3103" width="12.7265625" style="6" customWidth="1"/>
    <col min="3104" max="3328" width="7.7265625" style="6"/>
    <col min="3329" max="3329" width="6.7265625" style="6" customWidth="1"/>
    <col min="3330" max="3330" width="42.81640625" style="6" customWidth="1"/>
    <col min="3331" max="3331" width="21.453125" style="6" customWidth="1"/>
    <col min="3332" max="3332" width="11.54296875" style="6" customWidth="1"/>
    <col min="3333" max="3333" width="24.1796875" style="6" customWidth="1"/>
    <col min="3334" max="3334" width="14.7265625" style="6" customWidth="1"/>
    <col min="3335" max="3359" width="12.7265625" style="6" customWidth="1"/>
    <col min="3360" max="3584" width="7.7265625" style="6"/>
    <col min="3585" max="3585" width="6.7265625" style="6" customWidth="1"/>
    <col min="3586" max="3586" width="42.81640625" style="6" customWidth="1"/>
    <col min="3587" max="3587" width="21.453125" style="6" customWidth="1"/>
    <col min="3588" max="3588" width="11.54296875" style="6" customWidth="1"/>
    <col min="3589" max="3589" width="24.1796875" style="6" customWidth="1"/>
    <col min="3590" max="3590" width="14.7265625" style="6" customWidth="1"/>
    <col min="3591" max="3615" width="12.7265625" style="6" customWidth="1"/>
    <col min="3616" max="3840" width="7.7265625" style="6"/>
    <col min="3841" max="3841" width="6.7265625" style="6" customWidth="1"/>
    <col min="3842" max="3842" width="42.81640625" style="6" customWidth="1"/>
    <col min="3843" max="3843" width="21.453125" style="6" customWidth="1"/>
    <col min="3844" max="3844" width="11.54296875" style="6" customWidth="1"/>
    <col min="3845" max="3845" width="24.1796875" style="6" customWidth="1"/>
    <col min="3846" max="3846" width="14.7265625" style="6" customWidth="1"/>
    <col min="3847" max="3871" width="12.7265625" style="6" customWidth="1"/>
    <col min="3872" max="4096" width="7.7265625" style="6"/>
    <col min="4097" max="4097" width="6.7265625" style="6" customWidth="1"/>
    <col min="4098" max="4098" width="42.81640625" style="6" customWidth="1"/>
    <col min="4099" max="4099" width="21.453125" style="6" customWidth="1"/>
    <col min="4100" max="4100" width="11.54296875" style="6" customWidth="1"/>
    <col min="4101" max="4101" width="24.1796875" style="6" customWidth="1"/>
    <col min="4102" max="4102" width="14.7265625" style="6" customWidth="1"/>
    <col min="4103" max="4127" width="12.7265625" style="6" customWidth="1"/>
    <col min="4128" max="4352" width="7.7265625" style="6"/>
    <col min="4353" max="4353" width="6.7265625" style="6" customWidth="1"/>
    <col min="4354" max="4354" width="42.81640625" style="6" customWidth="1"/>
    <col min="4355" max="4355" width="21.453125" style="6" customWidth="1"/>
    <col min="4356" max="4356" width="11.54296875" style="6" customWidth="1"/>
    <col min="4357" max="4357" width="24.1796875" style="6" customWidth="1"/>
    <col min="4358" max="4358" width="14.7265625" style="6" customWidth="1"/>
    <col min="4359" max="4383" width="12.7265625" style="6" customWidth="1"/>
    <col min="4384" max="4608" width="7.7265625" style="6"/>
    <col min="4609" max="4609" width="6.7265625" style="6" customWidth="1"/>
    <col min="4610" max="4610" width="42.81640625" style="6" customWidth="1"/>
    <col min="4611" max="4611" width="21.453125" style="6" customWidth="1"/>
    <col min="4612" max="4612" width="11.54296875" style="6" customWidth="1"/>
    <col min="4613" max="4613" width="24.1796875" style="6" customWidth="1"/>
    <col min="4614" max="4614" width="14.7265625" style="6" customWidth="1"/>
    <col min="4615" max="4639" width="12.7265625" style="6" customWidth="1"/>
    <col min="4640" max="4864" width="7.7265625" style="6"/>
    <col min="4865" max="4865" width="6.7265625" style="6" customWidth="1"/>
    <col min="4866" max="4866" width="42.81640625" style="6" customWidth="1"/>
    <col min="4867" max="4867" width="21.453125" style="6" customWidth="1"/>
    <col min="4868" max="4868" width="11.54296875" style="6" customWidth="1"/>
    <col min="4869" max="4869" width="24.1796875" style="6" customWidth="1"/>
    <col min="4870" max="4870" width="14.7265625" style="6" customWidth="1"/>
    <col min="4871" max="4895" width="12.7265625" style="6" customWidth="1"/>
    <col min="4896" max="5120" width="7.7265625" style="6"/>
    <col min="5121" max="5121" width="6.7265625" style="6" customWidth="1"/>
    <col min="5122" max="5122" width="42.81640625" style="6" customWidth="1"/>
    <col min="5123" max="5123" width="21.453125" style="6" customWidth="1"/>
    <col min="5124" max="5124" width="11.54296875" style="6" customWidth="1"/>
    <col min="5125" max="5125" width="24.1796875" style="6" customWidth="1"/>
    <col min="5126" max="5126" width="14.7265625" style="6" customWidth="1"/>
    <col min="5127" max="5151" width="12.7265625" style="6" customWidth="1"/>
    <col min="5152" max="5376" width="7.7265625" style="6"/>
    <col min="5377" max="5377" width="6.7265625" style="6" customWidth="1"/>
    <col min="5378" max="5378" width="42.81640625" style="6" customWidth="1"/>
    <col min="5379" max="5379" width="21.453125" style="6" customWidth="1"/>
    <col min="5380" max="5380" width="11.54296875" style="6" customWidth="1"/>
    <col min="5381" max="5381" width="24.1796875" style="6" customWidth="1"/>
    <col min="5382" max="5382" width="14.7265625" style="6" customWidth="1"/>
    <col min="5383" max="5407" width="12.7265625" style="6" customWidth="1"/>
    <col min="5408" max="5632" width="7.7265625" style="6"/>
    <col min="5633" max="5633" width="6.7265625" style="6" customWidth="1"/>
    <col min="5634" max="5634" width="42.81640625" style="6" customWidth="1"/>
    <col min="5635" max="5635" width="21.453125" style="6" customWidth="1"/>
    <col min="5636" max="5636" width="11.54296875" style="6" customWidth="1"/>
    <col min="5637" max="5637" width="24.1796875" style="6" customWidth="1"/>
    <col min="5638" max="5638" width="14.7265625" style="6" customWidth="1"/>
    <col min="5639" max="5663" width="12.7265625" style="6" customWidth="1"/>
    <col min="5664" max="5888" width="7.7265625" style="6"/>
    <col min="5889" max="5889" width="6.7265625" style="6" customWidth="1"/>
    <col min="5890" max="5890" width="42.81640625" style="6" customWidth="1"/>
    <col min="5891" max="5891" width="21.453125" style="6" customWidth="1"/>
    <col min="5892" max="5892" width="11.54296875" style="6" customWidth="1"/>
    <col min="5893" max="5893" width="24.1796875" style="6" customWidth="1"/>
    <col min="5894" max="5894" width="14.7265625" style="6" customWidth="1"/>
    <col min="5895" max="5919" width="12.7265625" style="6" customWidth="1"/>
    <col min="5920" max="6144" width="7.7265625" style="6"/>
    <col min="6145" max="6145" width="6.7265625" style="6" customWidth="1"/>
    <col min="6146" max="6146" width="42.81640625" style="6" customWidth="1"/>
    <col min="6147" max="6147" width="21.453125" style="6" customWidth="1"/>
    <col min="6148" max="6148" width="11.54296875" style="6" customWidth="1"/>
    <col min="6149" max="6149" width="24.1796875" style="6" customWidth="1"/>
    <col min="6150" max="6150" width="14.7265625" style="6" customWidth="1"/>
    <col min="6151" max="6175" width="12.7265625" style="6" customWidth="1"/>
    <col min="6176" max="6400" width="7.7265625" style="6"/>
    <col min="6401" max="6401" width="6.7265625" style="6" customWidth="1"/>
    <col min="6402" max="6402" width="42.81640625" style="6" customWidth="1"/>
    <col min="6403" max="6403" width="21.453125" style="6" customWidth="1"/>
    <col min="6404" max="6404" width="11.54296875" style="6" customWidth="1"/>
    <col min="6405" max="6405" width="24.1796875" style="6" customWidth="1"/>
    <col min="6406" max="6406" width="14.7265625" style="6" customWidth="1"/>
    <col min="6407" max="6431" width="12.7265625" style="6" customWidth="1"/>
    <col min="6432" max="6656" width="7.7265625" style="6"/>
    <col min="6657" max="6657" width="6.7265625" style="6" customWidth="1"/>
    <col min="6658" max="6658" width="42.81640625" style="6" customWidth="1"/>
    <col min="6659" max="6659" width="21.453125" style="6" customWidth="1"/>
    <col min="6660" max="6660" width="11.54296875" style="6" customWidth="1"/>
    <col min="6661" max="6661" width="24.1796875" style="6" customWidth="1"/>
    <col min="6662" max="6662" width="14.7265625" style="6" customWidth="1"/>
    <col min="6663" max="6687" width="12.7265625" style="6" customWidth="1"/>
    <col min="6688" max="6912" width="7.7265625" style="6"/>
    <col min="6913" max="6913" width="6.7265625" style="6" customWidth="1"/>
    <col min="6914" max="6914" width="42.81640625" style="6" customWidth="1"/>
    <col min="6915" max="6915" width="21.453125" style="6" customWidth="1"/>
    <col min="6916" max="6916" width="11.54296875" style="6" customWidth="1"/>
    <col min="6917" max="6917" width="24.1796875" style="6" customWidth="1"/>
    <col min="6918" max="6918" width="14.7265625" style="6" customWidth="1"/>
    <col min="6919" max="6943" width="12.7265625" style="6" customWidth="1"/>
    <col min="6944" max="7168" width="7.7265625" style="6"/>
    <col min="7169" max="7169" width="6.7265625" style="6" customWidth="1"/>
    <col min="7170" max="7170" width="42.81640625" style="6" customWidth="1"/>
    <col min="7171" max="7171" width="21.453125" style="6" customWidth="1"/>
    <col min="7172" max="7172" width="11.54296875" style="6" customWidth="1"/>
    <col min="7173" max="7173" width="24.1796875" style="6" customWidth="1"/>
    <col min="7174" max="7174" width="14.7265625" style="6" customWidth="1"/>
    <col min="7175" max="7199" width="12.7265625" style="6" customWidth="1"/>
    <col min="7200" max="7424" width="7.7265625" style="6"/>
    <col min="7425" max="7425" width="6.7265625" style="6" customWidth="1"/>
    <col min="7426" max="7426" width="42.81640625" style="6" customWidth="1"/>
    <col min="7427" max="7427" width="21.453125" style="6" customWidth="1"/>
    <col min="7428" max="7428" width="11.54296875" style="6" customWidth="1"/>
    <col min="7429" max="7429" width="24.1796875" style="6" customWidth="1"/>
    <col min="7430" max="7430" width="14.7265625" style="6" customWidth="1"/>
    <col min="7431" max="7455" width="12.7265625" style="6" customWidth="1"/>
    <col min="7456" max="7680" width="7.7265625" style="6"/>
    <col min="7681" max="7681" width="6.7265625" style="6" customWidth="1"/>
    <col min="7682" max="7682" width="42.81640625" style="6" customWidth="1"/>
    <col min="7683" max="7683" width="21.453125" style="6" customWidth="1"/>
    <col min="7684" max="7684" width="11.54296875" style="6" customWidth="1"/>
    <col min="7685" max="7685" width="24.1796875" style="6" customWidth="1"/>
    <col min="7686" max="7686" width="14.7265625" style="6" customWidth="1"/>
    <col min="7687" max="7711" width="12.7265625" style="6" customWidth="1"/>
    <col min="7712" max="7936" width="7.7265625" style="6"/>
    <col min="7937" max="7937" width="6.7265625" style="6" customWidth="1"/>
    <col min="7938" max="7938" width="42.81640625" style="6" customWidth="1"/>
    <col min="7939" max="7939" width="21.453125" style="6" customWidth="1"/>
    <col min="7940" max="7940" width="11.54296875" style="6" customWidth="1"/>
    <col min="7941" max="7941" width="24.1796875" style="6" customWidth="1"/>
    <col min="7942" max="7942" width="14.7265625" style="6" customWidth="1"/>
    <col min="7943" max="7967" width="12.7265625" style="6" customWidth="1"/>
    <col min="7968" max="8192" width="7.7265625" style="6"/>
    <col min="8193" max="8193" width="6.7265625" style="6" customWidth="1"/>
    <col min="8194" max="8194" width="42.81640625" style="6" customWidth="1"/>
    <col min="8195" max="8195" width="21.453125" style="6" customWidth="1"/>
    <col min="8196" max="8196" width="11.54296875" style="6" customWidth="1"/>
    <col min="8197" max="8197" width="24.1796875" style="6" customWidth="1"/>
    <col min="8198" max="8198" width="14.7265625" style="6" customWidth="1"/>
    <col min="8199" max="8223" width="12.7265625" style="6" customWidth="1"/>
    <col min="8224" max="8448" width="7.7265625" style="6"/>
    <col min="8449" max="8449" width="6.7265625" style="6" customWidth="1"/>
    <col min="8450" max="8450" width="42.81640625" style="6" customWidth="1"/>
    <col min="8451" max="8451" width="21.453125" style="6" customWidth="1"/>
    <col min="8452" max="8452" width="11.54296875" style="6" customWidth="1"/>
    <col min="8453" max="8453" width="24.1796875" style="6" customWidth="1"/>
    <col min="8454" max="8454" width="14.7265625" style="6" customWidth="1"/>
    <col min="8455" max="8479" width="12.7265625" style="6" customWidth="1"/>
    <col min="8480" max="8704" width="7.7265625" style="6"/>
    <col min="8705" max="8705" width="6.7265625" style="6" customWidth="1"/>
    <col min="8706" max="8706" width="42.81640625" style="6" customWidth="1"/>
    <col min="8707" max="8707" width="21.453125" style="6" customWidth="1"/>
    <col min="8708" max="8708" width="11.54296875" style="6" customWidth="1"/>
    <col min="8709" max="8709" width="24.1796875" style="6" customWidth="1"/>
    <col min="8710" max="8710" width="14.7265625" style="6" customWidth="1"/>
    <col min="8711" max="8735" width="12.7265625" style="6" customWidth="1"/>
    <col min="8736" max="8960" width="7.7265625" style="6"/>
    <col min="8961" max="8961" width="6.7265625" style="6" customWidth="1"/>
    <col min="8962" max="8962" width="42.81640625" style="6" customWidth="1"/>
    <col min="8963" max="8963" width="21.453125" style="6" customWidth="1"/>
    <col min="8964" max="8964" width="11.54296875" style="6" customWidth="1"/>
    <col min="8965" max="8965" width="24.1796875" style="6" customWidth="1"/>
    <col min="8966" max="8966" width="14.7265625" style="6" customWidth="1"/>
    <col min="8967" max="8991" width="12.7265625" style="6" customWidth="1"/>
    <col min="8992" max="9216" width="7.7265625" style="6"/>
    <col min="9217" max="9217" width="6.7265625" style="6" customWidth="1"/>
    <col min="9218" max="9218" width="42.81640625" style="6" customWidth="1"/>
    <col min="9219" max="9219" width="21.453125" style="6" customWidth="1"/>
    <col min="9220" max="9220" width="11.54296875" style="6" customWidth="1"/>
    <col min="9221" max="9221" width="24.1796875" style="6" customWidth="1"/>
    <col min="9222" max="9222" width="14.7265625" style="6" customWidth="1"/>
    <col min="9223" max="9247" width="12.7265625" style="6" customWidth="1"/>
    <col min="9248" max="9472" width="7.7265625" style="6"/>
    <col min="9473" max="9473" width="6.7265625" style="6" customWidth="1"/>
    <col min="9474" max="9474" width="42.81640625" style="6" customWidth="1"/>
    <col min="9475" max="9475" width="21.453125" style="6" customWidth="1"/>
    <col min="9476" max="9476" width="11.54296875" style="6" customWidth="1"/>
    <col min="9477" max="9477" width="24.1796875" style="6" customWidth="1"/>
    <col min="9478" max="9478" width="14.7265625" style="6" customWidth="1"/>
    <col min="9479" max="9503" width="12.7265625" style="6" customWidth="1"/>
    <col min="9504" max="9728" width="7.7265625" style="6"/>
    <col min="9729" max="9729" width="6.7265625" style="6" customWidth="1"/>
    <col min="9730" max="9730" width="42.81640625" style="6" customWidth="1"/>
    <col min="9731" max="9731" width="21.453125" style="6" customWidth="1"/>
    <col min="9732" max="9732" width="11.54296875" style="6" customWidth="1"/>
    <col min="9733" max="9733" width="24.1796875" style="6" customWidth="1"/>
    <col min="9734" max="9734" width="14.7265625" style="6" customWidth="1"/>
    <col min="9735" max="9759" width="12.7265625" style="6" customWidth="1"/>
    <col min="9760" max="9984" width="7.7265625" style="6"/>
    <col min="9985" max="9985" width="6.7265625" style="6" customWidth="1"/>
    <col min="9986" max="9986" width="42.81640625" style="6" customWidth="1"/>
    <col min="9987" max="9987" width="21.453125" style="6" customWidth="1"/>
    <col min="9988" max="9988" width="11.54296875" style="6" customWidth="1"/>
    <col min="9989" max="9989" width="24.1796875" style="6" customWidth="1"/>
    <col min="9990" max="9990" width="14.7265625" style="6" customWidth="1"/>
    <col min="9991" max="10015" width="12.7265625" style="6" customWidth="1"/>
    <col min="10016" max="10240" width="7.7265625" style="6"/>
    <col min="10241" max="10241" width="6.7265625" style="6" customWidth="1"/>
    <col min="10242" max="10242" width="42.81640625" style="6" customWidth="1"/>
    <col min="10243" max="10243" width="21.453125" style="6" customWidth="1"/>
    <col min="10244" max="10244" width="11.54296875" style="6" customWidth="1"/>
    <col min="10245" max="10245" width="24.1796875" style="6" customWidth="1"/>
    <col min="10246" max="10246" width="14.7265625" style="6" customWidth="1"/>
    <col min="10247" max="10271" width="12.7265625" style="6" customWidth="1"/>
    <col min="10272" max="10496" width="7.7265625" style="6"/>
    <col min="10497" max="10497" width="6.7265625" style="6" customWidth="1"/>
    <col min="10498" max="10498" width="42.81640625" style="6" customWidth="1"/>
    <col min="10499" max="10499" width="21.453125" style="6" customWidth="1"/>
    <col min="10500" max="10500" width="11.54296875" style="6" customWidth="1"/>
    <col min="10501" max="10501" width="24.1796875" style="6" customWidth="1"/>
    <col min="10502" max="10502" width="14.7265625" style="6" customWidth="1"/>
    <col min="10503" max="10527" width="12.7265625" style="6" customWidth="1"/>
    <col min="10528" max="10752" width="7.7265625" style="6"/>
    <col min="10753" max="10753" width="6.7265625" style="6" customWidth="1"/>
    <col min="10754" max="10754" width="42.81640625" style="6" customWidth="1"/>
    <col min="10755" max="10755" width="21.453125" style="6" customWidth="1"/>
    <col min="10756" max="10756" width="11.54296875" style="6" customWidth="1"/>
    <col min="10757" max="10757" width="24.1796875" style="6" customWidth="1"/>
    <col min="10758" max="10758" width="14.7265625" style="6" customWidth="1"/>
    <col min="10759" max="10783" width="12.7265625" style="6" customWidth="1"/>
    <col min="10784" max="11008" width="7.7265625" style="6"/>
    <col min="11009" max="11009" width="6.7265625" style="6" customWidth="1"/>
    <col min="11010" max="11010" width="42.81640625" style="6" customWidth="1"/>
    <col min="11011" max="11011" width="21.453125" style="6" customWidth="1"/>
    <col min="11012" max="11012" width="11.54296875" style="6" customWidth="1"/>
    <col min="11013" max="11013" width="24.1796875" style="6" customWidth="1"/>
    <col min="11014" max="11014" width="14.7265625" style="6" customWidth="1"/>
    <col min="11015" max="11039" width="12.7265625" style="6" customWidth="1"/>
    <col min="11040" max="11264" width="7.7265625" style="6"/>
    <col min="11265" max="11265" width="6.7265625" style="6" customWidth="1"/>
    <col min="11266" max="11266" width="42.81640625" style="6" customWidth="1"/>
    <col min="11267" max="11267" width="21.453125" style="6" customWidth="1"/>
    <col min="11268" max="11268" width="11.54296875" style="6" customWidth="1"/>
    <col min="11269" max="11269" width="24.1796875" style="6" customWidth="1"/>
    <col min="11270" max="11270" width="14.7265625" style="6" customWidth="1"/>
    <col min="11271" max="11295" width="12.7265625" style="6" customWidth="1"/>
    <col min="11296" max="11520" width="7.7265625" style="6"/>
    <col min="11521" max="11521" width="6.7265625" style="6" customWidth="1"/>
    <col min="11522" max="11522" width="42.81640625" style="6" customWidth="1"/>
    <col min="11523" max="11523" width="21.453125" style="6" customWidth="1"/>
    <col min="11524" max="11524" width="11.54296875" style="6" customWidth="1"/>
    <col min="11525" max="11525" width="24.1796875" style="6" customWidth="1"/>
    <col min="11526" max="11526" width="14.7265625" style="6" customWidth="1"/>
    <col min="11527" max="11551" width="12.7265625" style="6" customWidth="1"/>
    <col min="11552" max="11776" width="7.7265625" style="6"/>
    <col min="11777" max="11777" width="6.7265625" style="6" customWidth="1"/>
    <col min="11778" max="11778" width="42.81640625" style="6" customWidth="1"/>
    <col min="11779" max="11779" width="21.453125" style="6" customWidth="1"/>
    <col min="11780" max="11780" width="11.54296875" style="6" customWidth="1"/>
    <col min="11781" max="11781" width="24.1796875" style="6" customWidth="1"/>
    <col min="11782" max="11782" width="14.7265625" style="6" customWidth="1"/>
    <col min="11783" max="11807" width="12.7265625" style="6" customWidth="1"/>
    <col min="11808" max="12032" width="7.7265625" style="6"/>
    <col min="12033" max="12033" width="6.7265625" style="6" customWidth="1"/>
    <col min="12034" max="12034" width="42.81640625" style="6" customWidth="1"/>
    <col min="12035" max="12035" width="21.453125" style="6" customWidth="1"/>
    <col min="12036" max="12036" width="11.54296875" style="6" customWidth="1"/>
    <col min="12037" max="12037" width="24.1796875" style="6" customWidth="1"/>
    <col min="12038" max="12038" width="14.7265625" style="6" customWidth="1"/>
    <col min="12039" max="12063" width="12.7265625" style="6" customWidth="1"/>
    <col min="12064" max="12288" width="7.7265625" style="6"/>
    <col min="12289" max="12289" width="6.7265625" style="6" customWidth="1"/>
    <col min="12290" max="12290" width="42.81640625" style="6" customWidth="1"/>
    <col min="12291" max="12291" width="21.453125" style="6" customWidth="1"/>
    <col min="12292" max="12292" width="11.54296875" style="6" customWidth="1"/>
    <col min="12293" max="12293" width="24.1796875" style="6" customWidth="1"/>
    <col min="12294" max="12294" width="14.7265625" style="6" customWidth="1"/>
    <col min="12295" max="12319" width="12.7265625" style="6" customWidth="1"/>
    <col min="12320" max="12544" width="7.7265625" style="6"/>
    <col min="12545" max="12545" width="6.7265625" style="6" customWidth="1"/>
    <col min="12546" max="12546" width="42.81640625" style="6" customWidth="1"/>
    <col min="12547" max="12547" width="21.453125" style="6" customWidth="1"/>
    <col min="12548" max="12548" width="11.54296875" style="6" customWidth="1"/>
    <col min="12549" max="12549" width="24.1796875" style="6" customWidth="1"/>
    <col min="12550" max="12550" width="14.7265625" style="6" customWidth="1"/>
    <col min="12551" max="12575" width="12.7265625" style="6" customWidth="1"/>
    <col min="12576" max="12800" width="7.7265625" style="6"/>
    <col min="12801" max="12801" width="6.7265625" style="6" customWidth="1"/>
    <col min="12802" max="12802" width="42.81640625" style="6" customWidth="1"/>
    <col min="12803" max="12803" width="21.453125" style="6" customWidth="1"/>
    <col min="12804" max="12804" width="11.54296875" style="6" customWidth="1"/>
    <col min="12805" max="12805" width="24.1796875" style="6" customWidth="1"/>
    <col min="12806" max="12806" width="14.7265625" style="6" customWidth="1"/>
    <col min="12807" max="12831" width="12.7265625" style="6" customWidth="1"/>
    <col min="12832" max="13056" width="7.7265625" style="6"/>
    <col min="13057" max="13057" width="6.7265625" style="6" customWidth="1"/>
    <col min="13058" max="13058" width="42.81640625" style="6" customWidth="1"/>
    <col min="13059" max="13059" width="21.453125" style="6" customWidth="1"/>
    <col min="13060" max="13060" width="11.54296875" style="6" customWidth="1"/>
    <col min="13061" max="13061" width="24.1796875" style="6" customWidth="1"/>
    <col min="13062" max="13062" width="14.7265625" style="6" customWidth="1"/>
    <col min="13063" max="13087" width="12.7265625" style="6" customWidth="1"/>
    <col min="13088" max="13312" width="7.7265625" style="6"/>
    <col min="13313" max="13313" width="6.7265625" style="6" customWidth="1"/>
    <col min="13314" max="13314" width="42.81640625" style="6" customWidth="1"/>
    <col min="13315" max="13315" width="21.453125" style="6" customWidth="1"/>
    <col min="13316" max="13316" width="11.54296875" style="6" customWidth="1"/>
    <col min="13317" max="13317" width="24.1796875" style="6" customWidth="1"/>
    <col min="13318" max="13318" width="14.7265625" style="6" customWidth="1"/>
    <col min="13319" max="13343" width="12.7265625" style="6" customWidth="1"/>
    <col min="13344" max="13568" width="7.7265625" style="6"/>
    <col min="13569" max="13569" width="6.7265625" style="6" customWidth="1"/>
    <col min="13570" max="13570" width="42.81640625" style="6" customWidth="1"/>
    <col min="13571" max="13571" width="21.453125" style="6" customWidth="1"/>
    <col min="13572" max="13572" width="11.54296875" style="6" customWidth="1"/>
    <col min="13573" max="13573" width="24.1796875" style="6" customWidth="1"/>
    <col min="13574" max="13574" width="14.7265625" style="6" customWidth="1"/>
    <col min="13575" max="13599" width="12.7265625" style="6" customWidth="1"/>
    <col min="13600" max="13824" width="7.7265625" style="6"/>
    <col min="13825" max="13825" width="6.7265625" style="6" customWidth="1"/>
    <col min="13826" max="13826" width="42.81640625" style="6" customWidth="1"/>
    <col min="13827" max="13827" width="21.453125" style="6" customWidth="1"/>
    <col min="13828" max="13828" width="11.54296875" style="6" customWidth="1"/>
    <col min="13829" max="13829" width="24.1796875" style="6" customWidth="1"/>
    <col min="13830" max="13830" width="14.7265625" style="6" customWidth="1"/>
    <col min="13831" max="13855" width="12.7265625" style="6" customWidth="1"/>
    <col min="13856" max="14080" width="7.7265625" style="6"/>
    <col min="14081" max="14081" width="6.7265625" style="6" customWidth="1"/>
    <col min="14082" max="14082" width="42.81640625" style="6" customWidth="1"/>
    <col min="14083" max="14083" width="21.453125" style="6" customWidth="1"/>
    <col min="14084" max="14084" width="11.54296875" style="6" customWidth="1"/>
    <col min="14085" max="14085" width="24.1796875" style="6" customWidth="1"/>
    <col min="14086" max="14086" width="14.7265625" style="6" customWidth="1"/>
    <col min="14087" max="14111" width="12.7265625" style="6" customWidth="1"/>
    <col min="14112" max="14336" width="7.7265625" style="6"/>
    <col min="14337" max="14337" width="6.7265625" style="6" customWidth="1"/>
    <col min="14338" max="14338" width="42.81640625" style="6" customWidth="1"/>
    <col min="14339" max="14339" width="21.453125" style="6" customWidth="1"/>
    <col min="14340" max="14340" width="11.54296875" style="6" customWidth="1"/>
    <col min="14341" max="14341" width="24.1796875" style="6" customWidth="1"/>
    <col min="14342" max="14342" width="14.7265625" style="6" customWidth="1"/>
    <col min="14343" max="14367" width="12.7265625" style="6" customWidth="1"/>
    <col min="14368" max="14592" width="7.7265625" style="6"/>
    <col min="14593" max="14593" width="6.7265625" style="6" customWidth="1"/>
    <col min="14594" max="14594" width="42.81640625" style="6" customWidth="1"/>
    <col min="14595" max="14595" width="21.453125" style="6" customWidth="1"/>
    <col min="14596" max="14596" width="11.54296875" style="6" customWidth="1"/>
    <col min="14597" max="14597" width="24.1796875" style="6" customWidth="1"/>
    <col min="14598" max="14598" width="14.7265625" style="6" customWidth="1"/>
    <col min="14599" max="14623" width="12.7265625" style="6" customWidth="1"/>
    <col min="14624" max="14848" width="7.7265625" style="6"/>
    <col min="14849" max="14849" width="6.7265625" style="6" customWidth="1"/>
    <col min="14850" max="14850" width="42.81640625" style="6" customWidth="1"/>
    <col min="14851" max="14851" width="21.453125" style="6" customWidth="1"/>
    <col min="14852" max="14852" width="11.54296875" style="6" customWidth="1"/>
    <col min="14853" max="14853" width="24.1796875" style="6" customWidth="1"/>
    <col min="14854" max="14854" width="14.7265625" style="6" customWidth="1"/>
    <col min="14855" max="14879" width="12.7265625" style="6" customWidth="1"/>
    <col min="14880" max="15104" width="7.7265625" style="6"/>
    <col min="15105" max="15105" width="6.7265625" style="6" customWidth="1"/>
    <col min="15106" max="15106" width="42.81640625" style="6" customWidth="1"/>
    <col min="15107" max="15107" width="21.453125" style="6" customWidth="1"/>
    <col min="15108" max="15108" width="11.54296875" style="6" customWidth="1"/>
    <col min="15109" max="15109" width="24.1796875" style="6" customWidth="1"/>
    <col min="15110" max="15110" width="14.7265625" style="6" customWidth="1"/>
    <col min="15111" max="15135" width="12.7265625" style="6" customWidth="1"/>
    <col min="15136" max="15360" width="7.7265625" style="6"/>
    <col min="15361" max="15361" width="6.7265625" style="6" customWidth="1"/>
    <col min="15362" max="15362" width="42.81640625" style="6" customWidth="1"/>
    <col min="15363" max="15363" width="21.453125" style="6" customWidth="1"/>
    <col min="15364" max="15364" width="11.54296875" style="6" customWidth="1"/>
    <col min="15365" max="15365" width="24.1796875" style="6" customWidth="1"/>
    <col min="15366" max="15366" width="14.7265625" style="6" customWidth="1"/>
    <col min="15367" max="15391" width="12.7265625" style="6" customWidth="1"/>
    <col min="15392" max="15616" width="7.7265625" style="6"/>
    <col min="15617" max="15617" width="6.7265625" style="6" customWidth="1"/>
    <col min="15618" max="15618" width="42.81640625" style="6" customWidth="1"/>
    <col min="15619" max="15619" width="21.453125" style="6" customWidth="1"/>
    <col min="15620" max="15620" width="11.54296875" style="6" customWidth="1"/>
    <col min="15621" max="15621" width="24.1796875" style="6" customWidth="1"/>
    <col min="15622" max="15622" width="14.7265625" style="6" customWidth="1"/>
    <col min="15623" max="15647" width="12.7265625" style="6" customWidth="1"/>
    <col min="15648" max="15872" width="7.7265625" style="6"/>
    <col min="15873" max="15873" width="6.7265625" style="6" customWidth="1"/>
    <col min="15874" max="15874" width="42.81640625" style="6" customWidth="1"/>
    <col min="15875" max="15875" width="21.453125" style="6" customWidth="1"/>
    <col min="15876" max="15876" width="11.54296875" style="6" customWidth="1"/>
    <col min="15877" max="15877" width="24.1796875" style="6" customWidth="1"/>
    <col min="15878" max="15878" width="14.7265625" style="6" customWidth="1"/>
    <col min="15879" max="15903" width="12.7265625" style="6" customWidth="1"/>
    <col min="15904" max="16128" width="7.7265625" style="6"/>
    <col min="16129" max="16129" width="6.7265625" style="6" customWidth="1"/>
    <col min="16130" max="16130" width="42.81640625" style="6" customWidth="1"/>
    <col min="16131" max="16131" width="21.453125" style="6" customWidth="1"/>
    <col min="16132" max="16132" width="11.54296875" style="6" customWidth="1"/>
    <col min="16133" max="16133" width="24.1796875" style="6" customWidth="1"/>
    <col min="16134" max="16134" width="14.7265625" style="6" customWidth="1"/>
    <col min="16135" max="16159" width="12.7265625" style="6" customWidth="1"/>
    <col min="16160" max="16384" width="7.7265625" style="6"/>
  </cols>
  <sheetData>
    <row r="1" spans="1:22" ht="12.75" customHeight="1" x14ac:dyDescent="0.3">
      <c r="A1" s="1" t="s">
        <v>0</v>
      </c>
      <c r="B1" s="20"/>
      <c r="C1" s="3" t="s">
        <v>1</v>
      </c>
      <c r="D1" s="38"/>
      <c r="E1" s="4"/>
      <c r="F1" s="25" t="s">
        <v>2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30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25" t="s">
        <v>14</v>
      </c>
      <c r="T1" s="25" t="s">
        <v>15</v>
      </c>
      <c r="U1" s="5" t="s">
        <v>16</v>
      </c>
      <c r="V1" s="5" t="s">
        <v>17</v>
      </c>
    </row>
    <row r="2" spans="1:22" ht="12.75" customHeight="1" x14ac:dyDescent="0.25">
      <c r="A2" s="7"/>
      <c r="B2" s="21" t="s">
        <v>18</v>
      </c>
      <c r="C2" s="8" t="s">
        <v>19</v>
      </c>
      <c r="D2" s="26" t="s">
        <v>20</v>
      </c>
      <c r="E2" s="8" t="s">
        <v>21</v>
      </c>
      <c r="F2" s="26" t="s">
        <v>22</v>
      </c>
      <c r="G2" s="8" t="s">
        <v>23</v>
      </c>
      <c r="H2" s="8" t="s">
        <v>24</v>
      </c>
      <c r="I2" s="8" t="s">
        <v>25</v>
      </c>
      <c r="J2" s="8" t="s">
        <v>26</v>
      </c>
      <c r="K2" s="8" t="s">
        <v>27</v>
      </c>
      <c r="L2" s="8" t="s">
        <v>28</v>
      </c>
      <c r="M2" s="31" t="s">
        <v>29</v>
      </c>
      <c r="N2" s="8" t="s">
        <v>30</v>
      </c>
      <c r="O2" s="8" t="s">
        <v>31</v>
      </c>
      <c r="P2" s="8" t="s">
        <v>32</v>
      </c>
      <c r="Q2" s="8" t="s">
        <v>33</v>
      </c>
      <c r="R2" s="8" t="s">
        <v>34</v>
      </c>
      <c r="S2" s="26" t="s">
        <v>35</v>
      </c>
      <c r="T2" s="26" t="s">
        <v>36</v>
      </c>
      <c r="U2" s="8" t="s">
        <v>37</v>
      </c>
      <c r="V2" s="8" t="s">
        <v>38</v>
      </c>
    </row>
    <row r="3" spans="1:22" ht="12.75" customHeight="1" x14ac:dyDescent="0.3">
      <c r="A3" s="2"/>
      <c r="B3" s="22" t="str">
        <f>CONCATENATE(C3,D3,$C$1,E3,$C$1,$F$1,$C$1,F3)</f>
        <v>WNRF 150# ANSI B16.5 Size 1/2"</v>
      </c>
      <c r="C3" s="9" t="s">
        <v>39</v>
      </c>
      <c r="D3" s="37" t="s">
        <v>61</v>
      </c>
      <c r="E3" s="9" t="s">
        <v>40</v>
      </c>
      <c r="F3" s="27" t="s">
        <v>62</v>
      </c>
      <c r="G3" s="11">
        <v>15</v>
      </c>
      <c r="H3" s="13">
        <v>88.9</v>
      </c>
      <c r="I3" s="13">
        <v>47.8</v>
      </c>
      <c r="J3" s="13">
        <v>11.2</v>
      </c>
      <c r="K3" s="13">
        <v>35.1</v>
      </c>
      <c r="L3" s="13">
        <v>60.5</v>
      </c>
      <c r="M3" s="32">
        <v>4</v>
      </c>
      <c r="N3" s="13">
        <v>15.7</v>
      </c>
      <c r="O3" s="13">
        <v>30.2</v>
      </c>
      <c r="P3" s="13">
        <v>1.6</v>
      </c>
      <c r="Q3" s="13">
        <v>3</v>
      </c>
      <c r="R3" s="13">
        <v>3</v>
      </c>
      <c r="S3" s="36">
        <f>(J3+U3+8)*2+R3</f>
        <v>61.4</v>
      </c>
      <c r="T3" s="36" t="s">
        <v>63</v>
      </c>
      <c r="U3" s="13">
        <v>10</v>
      </c>
      <c r="V3" s="13">
        <v>0.48</v>
      </c>
    </row>
    <row r="4" spans="1:22" ht="12.75" customHeight="1" x14ac:dyDescent="0.3">
      <c r="A4" s="2"/>
      <c r="B4" s="23" t="str">
        <f>CONCATENATE(C4,D4,$C$1,E4,$C$1,$F$1,$C$1,F4)</f>
        <v>WNRF 150# ANSI B16.5 Size 3/4"</v>
      </c>
      <c r="C4" s="9" t="s">
        <v>39</v>
      </c>
      <c r="D4" s="37" t="s">
        <v>61</v>
      </c>
      <c r="E4" s="9" t="s">
        <v>40</v>
      </c>
      <c r="F4" s="27" t="s">
        <v>64</v>
      </c>
      <c r="G4" s="11">
        <v>20</v>
      </c>
      <c r="H4" s="13">
        <v>98.6</v>
      </c>
      <c r="I4" s="13">
        <v>52.3</v>
      </c>
      <c r="J4" s="13">
        <v>12.7</v>
      </c>
      <c r="K4" s="13">
        <v>42.9</v>
      </c>
      <c r="L4" s="13">
        <v>69.900000000000006</v>
      </c>
      <c r="M4" s="32">
        <v>4</v>
      </c>
      <c r="N4" s="13">
        <v>15.7</v>
      </c>
      <c r="O4" s="13">
        <v>38.1</v>
      </c>
      <c r="P4" s="13">
        <v>1.6</v>
      </c>
      <c r="Q4" s="13">
        <v>3</v>
      </c>
      <c r="R4" s="13">
        <v>3</v>
      </c>
      <c r="S4" s="36">
        <f>(J4+U4+8)*2+R4</f>
        <v>64.400000000000006</v>
      </c>
      <c r="T4" s="36" t="s">
        <v>63</v>
      </c>
      <c r="U4" s="13">
        <v>10</v>
      </c>
      <c r="V4" s="13">
        <v>0.71</v>
      </c>
    </row>
    <row r="5" spans="1:22" ht="12.75" customHeight="1" x14ac:dyDescent="0.3">
      <c r="A5" s="2"/>
      <c r="B5" s="23" t="str">
        <f t="shared" ref="B5:B46" si="0">CONCATENATE(C5,D5,$C$1,E5,$C$1,$F$1,$C$1,F5)</f>
        <v>WNRF 150# ANSI B16.5 Size 1"</v>
      </c>
      <c r="C5" s="9" t="s">
        <v>39</v>
      </c>
      <c r="D5" s="37" t="s">
        <v>61</v>
      </c>
      <c r="E5" s="9" t="s">
        <v>40</v>
      </c>
      <c r="F5" s="27" t="s">
        <v>65</v>
      </c>
      <c r="G5" s="11">
        <v>25</v>
      </c>
      <c r="H5" s="13">
        <v>108</v>
      </c>
      <c r="I5" s="13">
        <v>55.6</v>
      </c>
      <c r="J5" s="13">
        <v>14.2</v>
      </c>
      <c r="K5" s="13">
        <v>50.8</v>
      </c>
      <c r="L5" s="13">
        <v>79.2</v>
      </c>
      <c r="M5" s="32">
        <v>4</v>
      </c>
      <c r="N5" s="13">
        <v>15.7</v>
      </c>
      <c r="O5" s="13">
        <v>49.3</v>
      </c>
      <c r="P5" s="13">
        <v>1.6</v>
      </c>
      <c r="Q5" s="13">
        <v>3</v>
      </c>
      <c r="R5" s="13">
        <v>3</v>
      </c>
      <c r="S5" s="36">
        <f t="shared" ref="S5:S46" si="1">(J5+U5+8)*2+R5</f>
        <v>67.400000000000006</v>
      </c>
      <c r="T5" s="36" t="s">
        <v>63</v>
      </c>
      <c r="U5" s="13">
        <v>10</v>
      </c>
      <c r="V5" s="13">
        <v>1.01</v>
      </c>
    </row>
    <row r="6" spans="1:22" ht="12.75" customHeight="1" x14ac:dyDescent="0.3">
      <c r="A6" s="2"/>
      <c r="B6" s="23" t="str">
        <f t="shared" si="0"/>
        <v>WNRF 150# ANSI B16.5 Size 1½"</v>
      </c>
      <c r="C6" s="9" t="s">
        <v>39</v>
      </c>
      <c r="D6" s="37" t="s">
        <v>61</v>
      </c>
      <c r="E6" s="9" t="s">
        <v>40</v>
      </c>
      <c r="F6" s="27" t="s">
        <v>66</v>
      </c>
      <c r="G6" s="11">
        <v>40</v>
      </c>
      <c r="H6" s="13">
        <v>127</v>
      </c>
      <c r="I6" s="13">
        <v>62</v>
      </c>
      <c r="J6" s="13">
        <v>17.5</v>
      </c>
      <c r="K6" s="13">
        <v>73.2</v>
      </c>
      <c r="L6" s="13">
        <v>98.6</v>
      </c>
      <c r="M6" s="32">
        <v>4</v>
      </c>
      <c r="N6" s="13">
        <v>15.7</v>
      </c>
      <c r="O6" s="13">
        <v>65</v>
      </c>
      <c r="P6" s="13">
        <v>1.6</v>
      </c>
      <c r="Q6" s="13">
        <v>6.35</v>
      </c>
      <c r="R6" s="13">
        <v>3</v>
      </c>
      <c r="S6" s="36">
        <f t="shared" si="1"/>
        <v>74</v>
      </c>
      <c r="T6" s="36" t="s">
        <v>63</v>
      </c>
      <c r="U6" s="13">
        <v>10</v>
      </c>
      <c r="V6" s="13">
        <v>1.72</v>
      </c>
    </row>
    <row r="7" spans="1:22" ht="12.75" customHeight="1" x14ac:dyDescent="0.3">
      <c r="A7" s="2"/>
      <c r="B7" s="23" t="str">
        <f t="shared" si="0"/>
        <v>WNRF 150# ANSI B16.5 Size 2"</v>
      </c>
      <c r="C7" s="9" t="s">
        <v>39</v>
      </c>
      <c r="D7" s="37" t="s">
        <v>61</v>
      </c>
      <c r="E7" s="9" t="s">
        <v>40</v>
      </c>
      <c r="F7" s="27" t="s">
        <v>67</v>
      </c>
      <c r="G7" s="11">
        <v>50</v>
      </c>
      <c r="H7" s="13">
        <v>152.4</v>
      </c>
      <c r="I7" s="13">
        <v>63.5</v>
      </c>
      <c r="J7" s="13">
        <v>19.100000000000001</v>
      </c>
      <c r="K7" s="13">
        <v>91.9</v>
      </c>
      <c r="L7" s="13">
        <v>120.7</v>
      </c>
      <c r="M7" s="32">
        <v>4</v>
      </c>
      <c r="N7" s="13">
        <v>19.100000000000001</v>
      </c>
      <c r="O7" s="13">
        <v>77.7</v>
      </c>
      <c r="P7" s="13">
        <v>1.6</v>
      </c>
      <c r="Q7" s="13">
        <v>7.87</v>
      </c>
      <c r="R7" s="13">
        <v>4</v>
      </c>
      <c r="S7" s="36">
        <f t="shared" si="1"/>
        <v>84.2</v>
      </c>
      <c r="T7" s="36" t="s">
        <v>68</v>
      </c>
      <c r="U7" s="13">
        <v>13</v>
      </c>
      <c r="V7" s="13">
        <v>2.58</v>
      </c>
    </row>
    <row r="8" spans="1:22" ht="12.75" customHeight="1" x14ac:dyDescent="0.3">
      <c r="A8" s="2"/>
      <c r="B8" s="23" t="str">
        <f t="shared" si="0"/>
        <v>WNRF 150# ANSI B16.5 Size 3"</v>
      </c>
      <c r="C8" s="9" t="s">
        <v>39</v>
      </c>
      <c r="D8" s="37" t="s">
        <v>61</v>
      </c>
      <c r="E8" s="9" t="s">
        <v>40</v>
      </c>
      <c r="F8" s="27" t="s">
        <v>69</v>
      </c>
      <c r="G8" s="11">
        <v>80</v>
      </c>
      <c r="H8" s="13">
        <v>190.5</v>
      </c>
      <c r="I8" s="13">
        <v>69.900000000000006</v>
      </c>
      <c r="J8" s="13">
        <v>23.9</v>
      </c>
      <c r="K8" s="13">
        <v>127</v>
      </c>
      <c r="L8" s="13">
        <v>152.4</v>
      </c>
      <c r="M8" s="32">
        <v>4</v>
      </c>
      <c r="N8" s="13">
        <v>19.100000000000001</v>
      </c>
      <c r="O8" s="13">
        <v>108</v>
      </c>
      <c r="P8" s="13">
        <v>1.6</v>
      </c>
      <c r="Q8" s="13">
        <v>9.65</v>
      </c>
      <c r="R8" s="13">
        <v>4</v>
      </c>
      <c r="S8" s="36">
        <f t="shared" si="1"/>
        <v>93.8</v>
      </c>
      <c r="T8" s="36" t="s">
        <v>68</v>
      </c>
      <c r="U8" s="13">
        <v>13</v>
      </c>
      <c r="V8" s="13">
        <v>4.92</v>
      </c>
    </row>
    <row r="9" spans="1:22" ht="12.75" customHeight="1" x14ac:dyDescent="0.3">
      <c r="A9" s="2"/>
      <c r="B9" s="23" t="str">
        <f t="shared" si="0"/>
        <v>WNRF 150# ANSI B16.5 Size 4"</v>
      </c>
      <c r="C9" s="9" t="s">
        <v>39</v>
      </c>
      <c r="D9" s="37" t="s">
        <v>61</v>
      </c>
      <c r="E9" s="9" t="s">
        <v>40</v>
      </c>
      <c r="F9" s="27" t="s">
        <v>70</v>
      </c>
      <c r="G9" s="11">
        <v>100</v>
      </c>
      <c r="H9" s="13">
        <v>228.6</v>
      </c>
      <c r="I9" s="13">
        <v>76.2</v>
      </c>
      <c r="J9" s="13">
        <v>23.9</v>
      </c>
      <c r="K9" s="13">
        <v>157.19999999999999</v>
      </c>
      <c r="L9" s="13">
        <v>190.5</v>
      </c>
      <c r="M9" s="32">
        <v>8</v>
      </c>
      <c r="N9" s="13">
        <v>19.100000000000001</v>
      </c>
      <c r="O9" s="13">
        <v>134.9</v>
      </c>
      <c r="P9" s="13">
        <v>1.6</v>
      </c>
      <c r="Q9" s="13">
        <v>11.18</v>
      </c>
      <c r="R9" s="13">
        <v>5</v>
      </c>
      <c r="S9" s="36">
        <f t="shared" si="1"/>
        <v>94.8</v>
      </c>
      <c r="T9" s="36" t="s">
        <v>68</v>
      </c>
      <c r="U9" s="13">
        <v>13</v>
      </c>
      <c r="V9" s="13">
        <v>6.84</v>
      </c>
    </row>
    <row r="10" spans="1:22" ht="12.75" customHeight="1" x14ac:dyDescent="0.3">
      <c r="A10" s="2"/>
      <c r="B10" s="23" t="str">
        <f t="shared" si="0"/>
        <v>WNRF 150# ANSI B16.5 Size 6"</v>
      </c>
      <c r="C10" s="9" t="s">
        <v>39</v>
      </c>
      <c r="D10" s="37" t="s">
        <v>61</v>
      </c>
      <c r="E10" s="9" t="s">
        <v>40</v>
      </c>
      <c r="F10" s="27" t="s">
        <v>73</v>
      </c>
      <c r="G10" s="11">
        <v>150</v>
      </c>
      <c r="H10" s="13">
        <v>279.39999999999998</v>
      </c>
      <c r="I10" s="13">
        <v>88.9</v>
      </c>
      <c r="J10" s="13">
        <v>25.4</v>
      </c>
      <c r="K10" s="13">
        <v>215.9</v>
      </c>
      <c r="L10" s="13">
        <v>241.3</v>
      </c>
      <c r="M10" s="32">
        <v>8</v>
      </c>
      <c r="N10" s="13">
        <v>22.4</v>
      </c>
      <c r="O10" s="13">
        <v>192</v>
      </c>
      <c r="P10" s="13">
        <v>1.6</v>
      </c>
      <c r="Q10" s="13">
        <v>12.7</v>
      </c>
      <c r="R10" s="13">
        <v>6</v>
      </c>
      <c r="S10" s="36">
        <f t="shared" si="1"/>
        <v>104.8</v>
      </c>
      <c r="T10" s="36" t="s">
        <v>72</v>
      </c>
      <c r="U10" s="13">
        <v>16</v>
      </c>
      <c r="V10" s="13">
        <v>10.6</v>
      </c>
    </row>
    <row r="11" spans="1:22" ht="12.75" customHeight="1" x14ac:dyDescent="0.3">
      <c r="A11" s="2"/>
      <c r="B11" s="23" t="str">
        <f t="shared" si="0"/>
        <v>WNRF 150# ANSI B16.5 Size 8"</v>
      </c>
      <c r="C11" s="9" t="s">
        <v>39</v>
      </c>
      <c r="D11" s="37" t="s">
        <v>61</v>
      </c>
      <c r="E11" s="9" t="s">
        <v>40</v>
      </c>
      <c r="F11" s="27" t="s">
        <v>74</v>
      </c>
      <c r="G11" s="11">
        <v>200</v>
      </c>
      <c r="H11" s="13">
        <v>342.9</v>
      </c>
      <c r="I11" s="13">
        <v>101.6</v>
      </c>
      <c r="J11" s="13">
        <v>28.4</v>
      </c>
      <c r="K11" s="13">
        <v>269.7</v>
      </c>
      <c r="L11" s="13">
        <v>298.5</v>
      </c>
      <c r="M11" s="32">
        <v>8</v>
      </c>
      <c r="N11" s="13">
        <v>22.4</v>
      </c>
      <c r="O11" s="13">
        <v>246.1</v>
      </c>
      <c r="P11" s="13">
        <v>1.6</v>
      </c>
      <c r="Q11" s="13">
        <v>12.7</v>
      </c>
      <c r="R11" s="13">
        <v>6</v>
      </c>
      <c r="S11" s="36">
        <f t="shared" si="1"/>
        <v>110.8</v>
      </c>
      <c r="T11" s="36" t="s">
        <v>72</v>
      </c>
      <c r="U11" s="13">
        <v>16</v>
      </c>
      <c r="V11" s="13">
        <v>17.600000000000001</v>
      </c>
    </row>
    <row r="12" spans="1:22" ht="12.75" customHeight="1" x14ac:dyDescent="0.3">
      <c r="A12" s="2"/>
      <c r="B12" s="23" t="str">
        <f t="shared" si="0"/>
        <v>WNRF 150# ANSI B16.5 Size 10"</v>
      </c>
      <c r="C12" s="9" t="s">
        <v>39</v>
      </c>
      <c r="D12" s="37" t="s">
        <v>61</v>
      </c>
      <c r="E12" s="9" t="s">
        <v>40</v>
      </c>
      <c r="F12" s="27" t="s">
        <v>75</v>
      </c>
      <c r="G12" s="11">
        <v>250</v>
      </c>
      <c r="H12" s="13">
        <v>406.4</v>
      </c>
      <c r="I12" s="13">
        <v>101.6</v>
      </c>
      <c r="J12" s="13">
        <v>30.2</v>
      </c>
      <c r="K12" s="13">
        <v>323.89999999999998</v>
      </c>
      <c r="L12" s="13">
        <v>362</v>
      </c>
      <c r="M12" s="32">
        <v>12</v>
      </c>
      <c r="N12" s="13">
        <v>25.4</v>
      </c>
      <c r="O12" s="13">
        <v>304.8</v>
      </c>
      <c r="P12" s="13">
        <v>1.6</v>
      </c>
      <c r="Q12" s="13">
        <v>12.7</v>
      </c>
      <c r="R12" s="13">
        <v>6</v>
      </c>
      <c r="S12" s="36">
        <f t="shared" si="1"/>
        <v>120.4</v>
      </c>
      <c r="T12" s="36" t="s">
        <v>76</v>
      </c>
      <c r="U12" s="13">
        <v>19</v>
      </c>
      <c r="V12" s="13">
        <v>24</v>
      </c>
    </row>
    <row r="13" spans="1:22" ht="12.75" customHeight="1" x14ac:dyDescent="0.3">
      <c r="A13" s="2"/>
      <c r="B13" s="23" t="str">
        <f t="shared" si="0"/>
        <v>WNRF 150# ANSI B16.5 Size 12"</v>
      </c>
      <c r="C13" s="9" t="s">
        <v>39</v>
      </c>
      <c r="D13" s="37" t="s">
        <v>61</v>
      </c>
      <c r="E13" s="9" t="s">
        <v>40</v>
      </c>
      <c r="F13" s="27" t="s">
        <v>77</v>
      </c>
      <c r="G13" s="11">
        <v>300</v>
      </c>
      <c r="H13" s="13">
        <v>482.6</v>
      </c>
      <c r="I13" s="13">
        <v>114.3</v>
      </c>
      <c r="J13" s="13">
        <v>31.8</v>
      </c>
      <c r="K13" s="13">
        <v>381</v>
      </c>
      <c r="L13" s="13">
        <v>431.8</v>
      </c>
      <c r="M13" s="32">
        <v>12</v>
      </c>
      <c r="N13" s="13">
        <v>25.4</v>
      </c>
      <c r="O13" s="13">
        <v>365.3</v>
      </c>
      <c r="P13" s="13">
        <v>1.6</v>
      </c>
      <c r="Q13" s="13">
        <v>12.7</v>
      </c>
      <c r="R13" s="13">
        <v>6</v>
      </c>
      <c r="S13" s="36">
        <f t="shared" si="1"/>
        <v>123.6</v>
      </c>
      <c r="T13" s="36" t="s">
        <v>76</v>
      </c>
      <c r="U13" s="13">
        <v>19</v>
      </c>
      <c r="V13" s="13">
        <v>36.5</v>
      </c>
    </row>
    <row r="14" spans="1:22" ht="12.75" customHeight="1" x14ac:dyDescent="0.3">
      <c r="A14" s="2"/>
      <c r="B14" s="23" t="str">
        <f t="shared" si="0"/>
        <v>WNRF 150# ANSI B16.5 Size 14"</v>
      </c>
      <c r="C14" s="9" t="s">
        <v>39</v>
      </c>
      <c r="D14" s="37" t="s">
        <v>61</v>
      </c>
      <c r="E14" s="9" t="s">
        <v>40</v>
      </c>
      <c r="F14" s="27" t="s">
        <v>78</v>
      </c>
      <c r="G14" s="11">
        <v>350</v>
      </c>
      <c r="H14" s="13">
        <v>533.4</v>
      </c>
      <c r="I14" s="13">
        <v>127</v>
      </c>
      <c r="J14" s="13">
        <v>35.1</v>
      </c>
      <c r="K14" s="13">
        <v>412.8</v>
      </c>
      <c r="L14" s="13">
        <v>476.3</v>
      </c>
      <c r="M14" s="32">
        <v>12</v>
      </c>
      <c r="N14" s="13">
        <v>28.4</v>
      </c>
      <c r="O14" s="13">
        <v>400.1</v>
      </c>
      <c r="P14" s="13">
        <v>1.6</v>
      </c>
      <c r="Q14" s="13">
        <v>12.7</v>
      </c>
      <c r="R14" s="13">
        <v>7</v>
      </c>
      <c r="S14" s="36">
        <f t="shared" si="1"/>
        <v>137.19999999999999</v>
      </c>
      <c r="T14" s="36" t="s">
        <v>79</v>
      </c>
      <c r="U14" s="13">
        <v>22</v>
      </c>
      <c r="V14" s="13">
        <v>48.4</v>
      </c>
    </row>
    <row r="15" spans="1:22" ht="12.75" customHeight="1" x14ac:dyDescent="0.3">
      <c r="A15" s="2"/>
      <c r="B15" s="23" t="str">
        <f t="shared" si="0"/>
        <v>WNRF 150# ANSI B16.5 Size 16"</v>
      </c>
      <c r="C15" s="9" t="s">
        <v>39</v>
      </c>
      <c r="D15" s="37" t="s">
        <v>61</v>
      </c>
      <c r="E15" s="9" t="s">
        <v>40</v>
      </c>
      <c r="F15" s="27" t="s">
        <v>80</v>
      </c>
      <c r="G15" s="11">
        <v>400</v>
      </c>
      <c r="H15" s="13">
        <v>596.9</v>
      </c>
      <c r="I15" s="13">
        <v>127</v>
      </c>
      <c r="J15" s="13">
        <v>36.6</v>
      </c>
      <c r="K15" s="13">
        <v>469.9</v>
      </c>
      <c r="L15" s="13">
        <v>539.79999999999995</v>
      </c>
      <c r="M15" s="32">
        <v>16</v>
      </c>
      <c r="N15" s="13">
        <v>28.4</v>
      </c>
      <c r="O15" s="13">
        <v>457.2</v>
      </c>
      <c r="P15" s="13">
        <v>1.6</v>
      </c>
      <c r="Q15" s="13">
        <v>12.7</v>
      </c>
      <c r="R15" s="13">
        <v>7</v>
      </c>
      <c r="S15" s="36">
        <f t="shared" si="1"/>
        <v>140.19999999999999</v>
      </c>
      <c r="T15" s="36" t="s">
        <v>79</v>
      </c>
      <c r="U15" s="13">
        <v>22</v>
      </c>
      <c r="V15" s="13">
        <v>60.6</v>
      </c>
    </row>
    <row r="16" spans="1:22" ht="12.75" customHeight="1" x14ac:dyDescent="0.3">
      <c r="A16" s="2"/>
      <c r="B16" s="23" t="str">
        <f t="shared" si="0"/>
        <v>WNRF 150# ANSI B16.5 Size 18"</v>
      </c>
      <c r="C16" s="9" t="s">
        <v>39</v>
      </c>
      <c r="D16" s="37" t="s">
        <v>61</v>
      </c>
      <c r="E16" s="9" t="s">
        <v>40</v>
      </c>
      <c r="F16" s="27" t="s">
        <v>81</v>
      </c>
      <c r="G16" s="11">
        <v>450</v>
      </c>
      <c r="H16" s="13">
        <v>635</v>
      </c>
      <c r="I16" s="13">
        <v>139.69999999999999</v>
      </c>
      <c r="J16" s="13">
        <v>39.6</v>
      </c>
      <c r="K16" s="13">
        <v>533.4</v>
      </c>
      <c r="L16" s="13">
        <v>577.9</v>
      </c>
      <c r="M16" s="32">
        <v>16</v>
      </c>
      <c r="N16" s="13">
        <v>31.8</v>
      </c>
      <c r="O16" s="13">
        <v>505</v>
      </c>
      <c r="P16" s="13">
        <v>1.6</v>
      </c>
      <c r="Q16" s="13">
        <v>12.7</v>
      </c>
      <c r="R16" s="13">
        <v>7</v>
      </c>
      <c r="S16" s="36">
        <f t="shared" si="1"/>
        <v>150.19999999999999</v>
      </c>
      <c r="T16" s="36" t="s">
        <v>82</v>
      </c>
      <c r="U16" s="13">
        <v>24</v>
      </c>
      <c r="V16" s="13">
        <v>68.3</v>
      </c>
    </row>
    <row r="17" spans="1:22" ht="12.75" customHeight="1" x14ac:dyDescent="0.3">
      <c r="A17" s="2"/>
      <c r="B17" s="23" t="str">
        <f t="shared" si="0"/>
        <v>WNRF 150# ANSI B16.5 Size 20"</v>
      </c>
      <c r="C17" s="9" t="s">
        <v>39</v>
      </c>
      <c r="D17" s="37" t="s">
        <v>61</v>
      </c>
      <c r="E17" s="9" t="s">
        <v>40</v>
      </c>
      <c r="F17" s="27" t="s">
        <v>83</v>
      </c>
      <c r="G17" s="11">
        <v>500</v>
      </c>
      <c r="H17" s="13">
        <v>698.5</v>
      </c>
      <c r="I17" s="13">
        <v>144.5</v>
      </c>
      <c r="J17" s="13">
        <v>42.9</v>
      </c>
      <c r="K17" s="13">
        <v>584.20000000000005</v>
      </c>
      <c r="L17" s="13">
        <v>635</v>
      </c>
      <c r="M17" s="32">
        <v>20</v>
      </c>
      <c r="N17" s="13">
        <v>31.8</v>
      </c>
      <c r="O17" s="13">
        <v>558.79999999999995</v>
      </c>
      <c r="P17" s="13">
        <v>1.6</v>
      </c>
      <c r="Q17" s="13">
        <v>12.7</v>
      </c>
      <c r="R17" s="13">
        <v>7</v>
      </c>
      <c r="S17" s="36">
        <f t="shared" si="1"/>
        <v>156.80000000000001</v>
      </c>
      <c r="T17" s="36" t="s">
        <v>82</v>
      </c>
      <c r="U17" s="13">
        <v>24</v>
      </c>
      <c r="V17" s="13">
        <v>84.5</v>
      </c>
    </row>
    <row r="18" spans="1:22" ht="12.75" customHeight="1" x14ac:dyDescent="0.3">
      <c r="A18" s="2"/>
      <c r="B18" s="23" t="str">
        <f t="shared" si="0"/>
        <v>WNRF 150# ANSI B16.5 Size 22"</v>
      </c>
      <c r="C18" s="9" t="s">
        <v>39</v>
      </c>
      <c r="D18" s="37" t="s">
        <v>61</v>
      </c>
      <c r="E18" s="9" t="s">
        <v>40</v>
      </c>
      <c r="F18" s="27" t="s">
        <v>84</v>
      </c>
      <c r="G18" s="11">
        <v>550</v>
      </c>
      <c r="H18" s="13">
        <v>749.3</v>
      </c>
      <c r="I18" s="13">
        <v>149.19999999999999</v>
      </c>
      <c r="J18" s="13">
        <v>46</v>
      </c>
      <c r="K18" s="13">
        <v>641.20000000000005</v>
      </c>
      <c r="L18" s="13">
        <v>692.1</v>
      </c>
      <c r="M18" s="32">
        <v>20</v>
      </c>
      <c r="N18" s="13">
        <v>34.9</v>
      </c>
      <c r="O18" s="13">
        <v>609.6</v>
      </c>
      <c r="P18" s="13">
        <v>1.6</v>
      </c>
      <c r="Q18" s="13">
        <v>12.7</v>
      </c>
      <c r="R18" s="13">
        <v>7</v>
      </c>
      <c r="S18" s="36">
        <f t="shared" si="1"/>
        <v>167</v>
      </c>
      <c r="T18" s="36" t="s">
        <v>43</v>
      </c>
      <c r="U18" s="13">
        <v>26</v>
      </c>
      <c r="V18" s="13">
        <v>102</v>
      </c>
    </row>
    <row r="19" spans="1:22" ht="12.75" customHeight="1" x14ac:dyDescent="0.3">
      <c r="A19" s="2"/>
      <c r="B19" s="23" t="str">
        <f t="shared" si="0"/>
        <v>WNRF 150# ANSI B16.5 Size 24"</v>
      </c>
      <c r="C19" s="9" t="s">
        <v>39</v>
      </c>
      <c r="D19" s="37" t="s">
        <v>61</v>
      </c>
      <c r="E19" s="9" t="s">
        <v>40</v>
      </c>
      <c r="F19" s="27" t="s">
        <v>85</v>
      </c>
      <c r="G19" s="11">
        <v>600</v>
      </c>
      <c r="H19" s="13">
        <v>812.8</v>
      </c>
      <c r="I19" s="13">
        <v>152.4</v>
      </c>
      <c r="J19" s="13">
        <v>47.8</v>
      </c>
      <c r="K19" s="13">
        <v>692.2</v>
      </c>
      <c r="L19" s="13">
        <v>749.3</v>
      </c>
      <c r="M19" s="32">
        <v>20</v>
      </c>
      <c r="N19" s="13">
        <v>35.1</v>
      </c>
      <c r="O19" s="13">
        <v>663.4</v>
      </c>
      <c r="P19" s="13">
        <v>1.6</v>
      </c>
      <c r="Q19" s="13">
        <v>12.7</v>
      </c>
      <c r="R19" s="13">
        <v>7</v>
      </c>
      <c r="S19" s="36">
        <f t="shared" si="1"/>
        <v>170.6</v>
      </c>
      <c r="T19" s="36" t="s">
        <v>43</v>
      </c>
      <c r="U19" s="13">
        <v>26</v>
      </c>
      <c r="V19" s="13">
        <v>115</v>
      </c>
    </row>
    <row r="20" spans="1:22" ht="12.75" customHeight="1" x14ac:dyDescent="0.3">
      <c r="A20" s="2"/>
      <c r="B20" s="23" t="str">
        <f t="shared" si="0"/>
        <v>WNRF 150# ANSI B16.5 Size 26"</v>
      </c>
      <c r="C20" s="9" t="s">
        <v>39</v>
      </c>
      <c r="D20" s="37" t="s">
        <v>61</v>
      </c>
      <c r="E20" s="9" t="s">
        <v>40</v>
      </c>
      <c r="F20" s="27" t="s">
        <v>41</v>
      </c>
      <c r="G20" s="11">
        <v>650</v>
      </c>
      <c r="H20" s="13">
        <v>869.9</v>
      </c>
      <c r="I20" s="13">
        <v>127</v>
      </c>
      <c r="J20" s="13">
        <v>50.8</v>
      </c>
      <c r="K20" s="13">
        <v>742.9</v>
      </c>
      <c r="L20" s="13">
        <v>806.4</v>
      </c>
      <c r="M20" s="32">
        <v>24</v>
      </c>
      <c r="N20" s="13">
        <v>34.9</v>
      </c>
      <c r="O20" s="13">
        <v>723.9</v>
      </c>
      <c r="P20" s="13">
        <v>1.6</v>
      </c>
      <c r="Q20" s="13">
        <v>12.7</v>
      </c>
      <c r="R20" s="13">
        <v>7</v>
      </c>
      <c r="S20" s="36">
        <f t="shared" si="1"/>
        <v>176.6</v>
      </c>
      <c r="T20" s="36" t="s">
        <v>43</v>
      </c>
      <c r="U20" s="13">
        <v>26</v>
      </c>
      <c r="V20" s="13">
        <v>118</v>
      </c>
    </row>
    <row r="21" spans="1:22" ht="12.75" customHeight="1" x14ac:dyDescent="0.3">
      <c r="A21" s="2"/>
      <c r="B21" s="23" t="str">
        <f t="shared" si="0"/>
        <v>WNRF 150# ANSI B16.5 Size 30"</v>
      </c>
      <c r="C21" s="9" t="s">
        <v>39</v>
      </c>
      <c r="D21" s="37" t="s">
        <v>61</v>
      </c>
      <c r="E21" s="9" t="s">
        <v>40</v>
      </c>
      <c r="F21" s="27" t="s">
        <v>45</v>
      </c>
      <c r="G21" s="11">
        <v>750</v>
      </c>
      <c r="H21" s="13">
        <v>984.2</v>
      </c>
      <c r="I21" s="13">
        <v>130.19999999999999</v>
      </c>
      <c r="J21" s="13">
        <v>54</v>
      </c>
      <c r="K21" s="13">
        <v>857.2</v>
      </c>
      <c r="L21" s="13">
        <v>914.4</v>
      </c>
      <c r="M21" s="32">
        <v>28</v>
      </c>
      <c r="N21" s="13">
        <v>34.9</v>
      </c>
      <c r="O21" s="13">
        <v>831.8</v>
      </c>
      <c r="P21" s="13">
        <v>1.6</v>
      </c>
      <c r="Q21" s="13">
        <v>12.7</v>
      </c>
      <c r="R21" s="13">
        <v>7</v>
      </c>
      <c r="S21" s="36">
        <f t="shared" si="1"/>
        <v>183</v>
      </c>
      <c r="T21" s="36" t="s">
        <v>43</v>
      </c>
      <c r="U21" s="13">
        <v>26</v>
      </c>
      <c r="V21" s="13">
        <v>153</v>
      </c>
    </row>
    <row r="22" spans="1:22" ht="12.75" customHeight="1" x14ac:dyDescent="0.3">
      <c r="A22" s="2"/>
      <c r="B22" s="23" t="str">
        <f t="shared" si="0"/>
        <v>WNRF 150# ANSI B16.5 Size 34"</v>
      </c>
      <c r="C22" s="9" t="s">
        <v>39</v>
      </c>
      <c r="D22" s="37" t="s">
        <v>61</v>
      </c>
      <c r="E22" s="9" t="s">
        <v>40</v>
      </c>
      <c r="F22" s="27" t="s">
        <v>48</v>
      </c>
      <c r="G22" s="11">
        <v>850</v>
      </c>
      <c r="H22" s="13">
        <v>1111.2</v>
      </c>
      <c r="I22" s="13">
        <v>150.80000000000001</v>
      </c>
      <c r="J22" s="13">
        <v>58.8</v>
      </c>
      <c r="K22" s="13">
        <v>958.8</v>
      </c>
      <c r="L22" s="13">
        <v>1028.7</v>
      </c>
      <c r="M22" s="32">
        <v>32</v>
      </c>
      <c r="N22" s="13">
        <v>41.3</v>
      </c>
      <c r="O22" s="13">
        <v>911.2</v>
      </c>
      <c r="P22" s="13">
        <v>1.6</v>
      </c>
      <c r="Q22" s="13">
        <v>12.7</v>
      </c>
      <c r="R22" s="13">
        <v>7</v>
      </c>
      <c r="S22" s="36">
        <f t="shared" si="1"/>
        <v>202.6</v>
      </c>
      <c r="T22" s="36" t="s">
        <v>57</v>
      </c>
      <c r="U22" s="13">
        <v>31</v>
      </c>
      <c r="V22" s="13">
        <v>212</v>
      </c>
    </row>
    <row r="23" spans="1:22" ht="12.75" customHeight="1" x14ac:dyDescent="0.3">
      <c r="A23" s="2"/>
      <c r="B23" s="23" t="str">
        <f t="shared" si="0"/>
        <v>WNRF 150# ANSI B16.5 Size 36"</v>
      </c>
      <c r="C23" s="9" t="s">
        <v>39</v>
      </c>
      <c r="D23" s="37" t="s">
        <v>61</v>
      </c>
      <c r="E23" s="9" t="s">
        <v>40</v>
      </c>
      <c r="F23" s="27" t="s">
        <v>49</v>
      </c>
      <c r="G23" s="11">
        <v>900</v>
      </c>
      <c r="H23" s="13">
        <v>1168.4000000000001</v>
      </c>
      <c r="I23" s="13">
        <v>161.9</v>
      </c>
      <c r="J23" s="13">
        <v>60.3</v>
      </c>
      <c r="K23" s="13">
        <v>1022.3</v>
      </c>
      <c r="L23" s="13">
        <v>1085.8</v>
      </c>
      <c r="M23" s="32">
        <v>32</v>
      </c>
      <c r="N23" s="13">
        <v>41.3</v>
      </c>
      <c r="O23" s="13">
        <v>966.8</v>
      </c>
      <c r="P23" s="13">
        <v>1.6</v>
      </c>
      <c r="Q23" s="13">
        <v>12.7</v>
      </c>
      <c r="R23" s="13">
        <v>7</v>
      </c>
      <c r="S23" s="36">
        <f t="shared" si="1"/>
        <v>205.6</v>
      </c>
      <c r="T23" s="36" t="s">
        <v>57</v>
      </c>
      <c r="U23" s="13">
        <v>31</v>
      </c>
      <c r="V23" s="13">
        <v>242</v>
      </c>
    </row>
    <row r="24" spans="1:22" ht="12.75" customHeight="1" x14ac:dyDescent="0.3">
      <c r="A24" s="2"/>
      <c r="B24" s="23" t="str">
        <f t="shared" si="0"/>
        <v>WNRF 150# ANSI B16.5 Size 42"</v>
      </c>
      <c r="C24" s="9" t="s">
        <v>39</v>
      </c>
      <c r="D24" s="37" t="s">
        <v>61</v>
      </c>
      <c r="E24" s="9" t="s">
        <v>40</v>
      </c>
      <c r="F24" s="27" t="s">
        <v>52</v>
      </c>
      <c r="G24" s="11">
        <v>1050</v>
      </c>
      <c r="H24" s="13">
        <v>1344.2</v>
      </c>
      <c r="I24" s="13">
        <v>193.7</v>
      </c>
      <c r="J24" s="13">
        <v>64.7</v>
      </c>
      <c r="K24" s="13">
        <v>1193.8</v>
      </c>
      <c r="L24" s="13">
        <v>1257.3</v>
      </c>
      <c r="M24" s="32">
        <v>36</v>
      </c>
      <c r="N24" s="13">
        <v>41.3</v>
      </c>
      <c r="O24" s="13">
        <v>1131.9000000000001</v>
      </c>
      <c r="P24" s="13">
        <v>1.6</v>
      </c>
      <c r="Q24" s="13">
        <v>12.7</v>
      </c>
      <c r="R24" s="13">
        <v>7</v>
      </c>
      <c r="S24" s="36">
        <f t="shared" si="1"/>
        <v>214.4</v>
      </c>
      <c r="T24" s="36" t="s">
        <v>57</v>
      </c>
      <c r="U24" s="13">
        <v>31</v>
      </c>
      <c r="V24" s="13">
        <v>358</v>
      </c>
    </row>
    <row r="25" spans="1:22" ht="12.75" customHeight="1" x14ac:dyDescent="0.3">
      <c r="A25" s="2"/>
      <c r="B25" s="22" t="str">
        <f t="shared" si="0"/>
        <v>WNRF 300# ANSI B16.5 Size 1/2"</v>
      </c>
      <c r="C25" s="9" t="s">
        <v>39</v>
      </c>
      <c r="D25" s="37" t="s">
        <v>86</v>
      </c>
      <c r="E25" s="9" t="s">
        <v>40</v>
      </c>
      <c r="F25" s="27" t="s">
        <v>62</v>
      </c>
      <c r="G25" s="11">
        <v>15</v>
      </c>
      <c r="H25" s="13">
        <v>95.2</v>
      </c>
      <c r="I25" s="13">
        <v>52.4</v>
      </c>
      <c r="J25" s="13">
        <v>14.3</v>
      </c>
      <c r="K25" s="13">
        <v>35</v>
      </c>
      <c r="L25" s="13">
        <v>66.5</v>
      </c>
      <c r="M25" s="32">
        <v>4</v>
      </c>
      <c r="N25" s="13">
        <v>15.7</v>
      </c>
      <c r="O25" s="13">
        <v>38.1</v>
      </c>
      <c r="P25" s="13">
        <v>1.6</v>
      </c>
      <c r="Q25" s="13">
        <v>3</v>
      </c>
      <c r="R25" s="13">
        <v>3</v>
      </c>
      <c r="S25" s="36">
        <f t="shared" si="1"/>
        <v>67.599999999999994</v>
      </c>
      <c r="T25" s="36" t="s">
        <v>63</v>
      </c>
      <c r="U25" s="13">
        <v>10</v>
      </c>
      <c r="V25" s="13">
        <v>0.75</v>
      </c>
    </row>
    <row r="26" spans="1:22" ht="12.75" customHeight="1" x14ac:dyDescent="0.3">
      <c r="A26" s="2"/>
      <c r="B26" s="23" t="str">
        <f t="shared" si="0"/>
        <v>WNRF 300# ANSI B16.5 Size 3/4"</v>
      </c>
      <c r="C26" s="9" t="s">
        <v>39</v>
      </c>
      <c r="D26" s="37" t="s">
        <v>86</v>
      </c>
      <c r="E26" s="9" t="s">
        <v>40</v>
      </c>
      <c r="F26" s="27" t="s">
        <v>64</v>
      </c>
      <c r="G26" s="11">
        <v>20</v>
      </c>
      <c r="H26" s="13">
        <v>117.5</v>
      </c>
      <c r="I26" s="13">
        <v>57.1</v>
      </c>
      <c r="J26" s="13">
        <v>15.9</v>
      </c>
      <c r="K26" s="10">
        <v>42.9</v>
      </c>
      <c r="L26" s="13">
        <v>82.5</v>
      </c>
      <c r="M26" s="32">
        <v>4</v>
      </c>
      <c r="N26" s="13">
        <v>19</v>
      </c>
      <c r="O26" s="13">
        <v>47.7</v>
      </c>
      <c r="P26" s="13">
        <v>1.6</v>
      </c>
      <c r="Q26" s="13">
        <v>3</v>
      </c>
      <c r="R26" s="13">
        <v>3</v>
      </c>
      <c r="S26" s="36">
        <f t="shared" si="1"/>
        <v>76.8</v>
      </c>
      <c r="T26" s="36" t="s">
        <v>68</v>
      </c>
      <c r="U26" s="13">
        <v>13</v>
      </c>
      <c r="V26" s="13">
        <v>1.26</v>
      </c>
    </row>
    <row r="27" spans="1:22" ht="12.75" customHeight="1" x14ac:dyDescent="0.3">
      <c r="A27" s="2"/>
      <c r="B27" s="23" t="str">
        <f t="shared" si="0"/>
        <v>WNRF 300# ANSI B16.5 Size 1"</v>
      </c>
      <c r="C27" s="9" t="s">
        <v>39</v>
      </c>
      <c r="D27" s="37" t="s">
        <v>86</v>
      </c>
      <c r="E27" s="9" t="s">
        <v>40</v>
      </c>
      <c r="F27" s="27" t="s">
        <v>65</v>
      </c>
      <c r="G27" s="11">
        <v>25</v>
      </c>
      <c r="H27" s="13">
        <v>123.8</v>
      </c>
      <c r="I27" s="13">
        <v>61.9</v>
      </c>
      <c r="J27" s="13">
        <v>17.5</v>
      </c>
      <c r="K27" s="10">
        <v>50.8</v>
      </c>
      <c r="L27" s="13">
        <v>88.9</v>
      </c>
      <c r="M27" s="32">
        <v>4</v>
      </c>
      <c r="N27" s="13">
        <v>19</v>
      </c>
      <c r="O27" s="13">
        <v>53.8</v>
      </c>
      <c r="P27" s="13">
        <v>1.6</v>
      </c>
      <c r="Q27" s="13">
        <v>3</v>
      </c>
      <c r="R27" s="13">
        <v>3</v>
      </c>
      <c r="S27" s="36">
        <f t="shared" si="1"/>
        <v>80</v>
      </c>
      <c r="T27" s="36" t="s">
        <v>68</v>
      </c>
      <c r="U27" s="13">
        <v>13</v>
      </c>
      <c r="V27" s="13">
        <v>1.52</v>
      </c>
    </row>
    <row r="28" spans="1:22" ht="12.75" customHeight="1" x14ac:dyDescent="0.3">
      <c r="A28" s="2"/>
      <c r="B28" s="23" t="str">
        <f t="shared" si="0"/>
        <v>WNRF 300# ANSI B16.5 Size 1½"</v>
      </c>
      <c r="C28" s="9" t="s">
        <v>39</v>
      </c>
      <c r="D28" s="37" t="s">
        <v>86</v>
      </c>
      <c r="E28" s="9" t="s">
        <v>40</v>
      </c>
      <c r="F28" s="27" t="s">
        <v>66</v>
      </c>
      <c r="G28" s="11">
        <v>40</v>
      </c>
      <c r="H28" s="13">
        <v>155.6</v>
      </c>
      <c r="I28" s="13">
        <v>68.3</v>
      </c>
      <c r="J28" s="13">
        <v>20.6</v>
      </c>
      <c r="K28" s="10">
        <v>73.099999999999994</v>
      </c>
      <c r="L28" s="13">
        <v>114.3</v>
      </c>
      <c r="M28" s="32">
        <v>4</v>
      </c>
      <c r="N28" s="13">
        <v>22.3</v>
      </c>
      <c r="O28" s="13">
        <v>69.8</v>
      </c>
      <c r="P28" s="13">
        <v>1.6</v>
      </c>
      <c r="Q28" s="13">
        <v>6.35</v>
      </c>
      <c r="R28" s="13">
        <v>3</v>
      </c>
      <c r="S28" s="36">
        <f t="shared" si="1"/>
        <v>92.2</v>
      </c>
      <c r="T28" s="37" t="s">
        <v>72</v>
      </c>
      <c r="U28" s="13">
        <v>16</v>
      </c>
      <c r="V28" s="13">
        <v>2.89</v>
      </c>
    </row>
    <row r="29" spans="1:22" ht="12.75" customHeight="1" x14ac:dyDescent="0.3">
      <c r="A29" s="2"/>
      <c r="B29" s="23" t="str">
        <f t="shared" si="0"/>
        <v>WNRF 300# ANSI B16.5 Size 2"</v>
      </c>
      <c r="C29" s="9" t="s">
        <v>39</v>
      </c>
      <c r="D29" s="37" t="s">
        <v>86</v>
      </c>
      <c r="E29" s="9" t="s">
        <v>40</v>
      </c>
      <c r="F29" s="27" t="s">
        <v>67</v>
      </c>
      <c r="G29" s="11">
        <v>50</v>
      </c>
      <c r="H29" s="13">
        <v>165.1</v>
      </c>
      <c r="I29" s="13">
        <v>69.8</v>
      </c>
      <c r="J29" s="13">
        <v>22.3</v>
      </c>
      <c r="K29" s="10">
        <v>91.9</v>
      </c>
      <c r="L29" s="13">
        <v>127</v>
      </c>
      <c r="M29" s="32">
        <v>8</v>
      </c>
      <c r="N29" s="13">
        <v>19</v>
      </c>
      <c r="O29" s="13">
        <v>84</v>
      </c>
      <c r="P29" s="13">
        <v>1.6</v>
      </c>
      <c r="Q29" s="13">
        <v>7.87</v>
      </c>
      <c r="R29" s="13">
        <v>4</v>
      </c>
      <c r="S29" s="36">
        <f t="shared" si="1"/>
        <v>90.6</v>
      </c>
      <c r="T29" s="36" t="s">
        <v>68</v>
      </c>
      <c r="U29" s="13">
        <v>13</v>
      </c>
      <c r="V29" s="13">
        <v>3.4</v>
      </c>
    </row>
    <row r="30" spans="1:22" ht="12.75" customHeight="1" x14ac:dyDescent="0.3">
      <c r="A30" s="2"/>
      <c r="B30" s="23" t="str">
        <f t="shared" si="0"/>
        <v>WNRF 300# ANSI B16.5 Size 3"</v>
      </c>
      <c r="C30" s="9" t="s">
        <v>39</v>
      </c>
      <c r="D30" s="37" t="s">
        <v>86</v>
      </c>
      <c r="E30" s="9" t="s">
        <v>40</v>
      </c>
      <c r="F30" s="27" t="s">
        <v>69</v>
      </c>
      <c r="G30" s="11">
        <v>80</v>
      </c>
      <c r="H30" s="13">
        <v>209.5</v>
      </c>
      <c r="I30" s="13">
        <v>79.400000000000006</v>
      </c>
      <c r="J30" s="13">
        <v>28.4</v>
      </c>
      <c r="K30" s="13">
        <v>127</v>
      </c>
      <c r="L30" s="13">
        <v>168.1</v>
      </c>
      <c r="M30" s="32">
        <v>8</v>
      </c>
      <c r="N30" s="13">
        <v>22.3</v>
      </c>
      <c r="O30" s="13">
        <v>117.3</v>
      </c>
      <c r="P30" s="13">
        <v>1.6</v>
      </c>
      <c r="Q30" s="13">
        <v>9.65</v>
      </c>
      <c r="R30" s="13">
        <v>4</v>
      </c>
      <c r="S30" s="36">
        <f t="shared" si="1"/>
        <v>108.8</v>
      </c>
      <c r="T30" s="36" t="s">
        <v>72</v>
      </c>
      <c r="U30" s="13">
        <v>16</v>
      </c>
      <c r="V30" s="13">
        <v>6.93</v>
      </c>
    </row>
    <row r="31" spans="1:22" ht="12.75" customHeight="1" x14ac:dyDescent="0.3">
      <c r="A31" s="2"/>
      <c r="B31" s="23" t="str">
        <f t="shared" si="0"/>
        <v>WNRF 300# ANSI B16.5 Size 4"</v>
      </c>
      <c r="C31" s="9" t="s">
        <v>39</v>
      </c>
      <c r="D31" s="37" t="s">
        <v>86</v>
      </c>
      <c r="E31" s="9" t="s">
        <v>40</v>
      </c>
      <c r="F31" s="27" t="s">
        <v>70</v>
      </c>
      <c r="G31" s="11">
        <v>100</v>
      </c>
      <c r="H31" s="13">
        <v>254</v>
      </c>
      <c r="I31" s="13">
        <v>85.7</v>
      </c>
      <c r="J31" s="13">
        <v>31.7</v>
      </c>
      <c r="K31" s="10">
        <v>157.19999999999999</v>
      </c>
      <c r="L31" s="13">
        <v>200.1</v>
      </c>
      <c r="M31" s="32">
        <v>8</v>
      </c>
      <c r="N31" s="13">
        <v>22.3</v>
      </c>
      <c r="O31" s="13">
        <v>146</v>
      </c>
      <c r="P31" s="13">
        <v>1.6</v>
      </c>
      <c r="Q31" s="13">
        <v>11.18</v>
      </c>
      <c r="R31" s="13">
        <v>5</v>
      </c>
      <c r="S31" s="36">
        <f t="shared" si="1"/>
        <v>116.4</v>
      </c>
      <c r="T31" s="36" t="s">
        <v>72</v>
      </c>
      <c r="U31" s="13">
        <v>16</v>
      </c>
      <c r="V31" s="13">
        <v>11.2</v>
      </c>
    </row>
    <row r="32" spans="1:22" ht="12.75" customHeight="1" x14ac:dyDescent="0.3">
      <c r="A32" s="2"/>
      <c r="B32" s="23" t="str">
        <f t="shared" si="0"/>
        <v>WNRF 300# ANSI B16.5 Size 6"</v>
      </c>
      <c r="C32" s="9" t="s">
        <v>39</v>
      </c>
      <c r="D32" s="37" t="s">
        <v>86</v>
      </c>
      <c r="E32" s="9" t="s">
        <v>40</v>
      </c>
      <c r="F32" s="27" t="s">
        <v>73</v>
      </c>
      <c r="G32" s="11">
        <v>150</v>
      </c>
      <c r="H32" s="13">
        <v>317.5</v>
      </c>
      <c r="I32" s="13">
        <v>98.4</v>
      </c>
      <c r="J32" s="13">
        <v>36.5</v>
      </c>
      <c r="K32" s="10">
        <v>215.9</v>
      </c>
      <c r="L32" s="13">
        <v>269.7</v>
      </c>
      <c r="M32" s="32">
        <v>12</v>
      </c>
      <c r="N32" s="13">
        <v>22.3</v>
      </c>
      <c r="O32" s="13">
        <v>206.2</v>
      </c>
      <c r="P32" s="13">
        <v>1.6</v>
      </c>
      <c r="Q32" s="13">
        <v>12.7</v>
      </c>
      <c r="R32" s="13">
        <v>6</v>
      </c>
      <c r="S32" s="36">
        <f t="shared" si="1"/>
        <v>127</v>
      </c>
      <c r="T32" s="36" t="s">
        <v>72</v>
      </c>
      <c r="U32" s="13">
        <v>16</v>
      </c>
      <c r="V32" s="13">
        <v>19.100000000000001</v>
      </c>
    </row>
    <row r="33" spans="1:22" ht="12.75" customHeight="1" x14ac:dyDescent="0.3">
      <c r="A33" s="2"/>
      <c r="B33" s="23" t="str">
        <f t="shared" si="0"/>
        <v>WNRF 300# ANSI B16.5 Size 8"</v>
      </c>
      <c r="C33" s="9" t="s">
        <v>39</v>
      </c>
      <c r="D33" s="37" t="s">
        <v>86</v>
      </c>
      <c r="E33" s="9" t="s">
        <v>40</v>
      </c>
      <c r="F33" s="27" t="s">
        <v>74</v>
      </c>
      <c r="G33" s="11">
        <v>200</v>
      </c>
      <c r="H33" s="13">
        <v>381</v>
      </c>
      <c r="I33" s="13">
        <v>111.1</v>
      </c>
      <c r="J33" s="13">
        <v>41.1</v>
      </c>
      <c r="K33" s="10">
        <v>269.7</v>
      </c>
      <c r="L33" s="13">
        <v>330.2</v>
      </c>
      <c r="M33" s="32">
        <v>12</v>
      </c>
      <c r="N33" s="13">
        <v>25.4</v>
      </c>
      <c r="O33" s="13">
        <v>260.3</v>
      </c>
      <c r="P33" s="13">
        <v>1.6</v>
      </c>
      <c r="Q33" s="13">
        <v>12.7</v>
      </c>
      <c r="R33" s="13">
        <v>6</v>
      </c>
      <c r="S33" s="36">
        <f t="shared" si="1"/>
        <v>142.19999999999999</v>
      </c>
      <c r="T33" s="36" t="s">
        <v>76</v>
      </c>
      <c r="U33" s="13">
        <v>19</v>
      </c>
      <c r="V33" s="13">
        <v>29.9</v>
      </c>
    </row>
    <row r="34" spans="1:22" ht="12.75" customHeight="1" x14ac:dyDescent="0.3">
      <c r="A34" s="2"/>
      <c r="B34" s="23" t="str">
        <f t="shared" si="0"/>
        <v>WNRF 300# ANSI B16.5 Size 10"</v>
      </c>
      <c r="C34" s="9" t="s">
        <v>39</v>
      </c>
      <c r="D34" s="37" t="s">
        <v>86</v>
      </c>
      <c r="E34" s="9" t="s">
        <v>40</v>
      </c>
      <c r="F34" s="27" t="s">
        <v>75</v>
      </c>
      <c r="G34" s="11">
        <v>250</v>
      </c>
      <c r="H34" s="13">
        <v>444.5</v>
      </c>
      <c r="I34" s="13">
        <v>117.5</v>
      </c>
      <c r="J34" s="13">
        <v>47.7</v>
      </c>
      <c r="K34" s="10">
        <v>323.8</v>
      </c>
      <c r="L34" s="13">
        <v>387.3</v>
      </c>
      <c r="M34" s="32">
        <v>16</v>
      </c>
      <c r="N34" s="13">
        <v>28.4</v>
      </c>
      <c r="O34" s="13">
        <v>320.5</v>
      </c>
      <c r="P34" s="13">
        <v>1.6</v>
      </c>
      <c r="Q34" s="13">
        <v>12.7</v>
      </c>
      <c r="R34" s="13">
        <v>6</v>
      </c>
      <c r="S34" s="36">
        <f t="shared" si="1"/>
        <v>161.4</v>
      </c>
      <c r="T34" s="36" t="s">
        <v>79</v>
      </c>
      <c r="U34" s="13">
        <v>22</v>
      </c>
      <c r="V34" s="13">
        <v>42.7</v>
      </c>
    </row>
    <row r="35" spans="1:22" ht="12.75" customHeight="1" x14ac:dyDescent="0.3">
      <c r="A35" s="2"/>
      <c r="B35" s="23" t="str">
        <f t="shared" si="0"/>
        <v>WNRF 300# ANSI B16.5 Size 12"</v>
      </c>
      <c r="C35" s="9" t="s">
        <v>39</v>
      </c>
      <c r="D35" s="37" t="s">
        <v>86</v>
      </c>
      <c r="E35" s="9" t="s">
        <v>40</v>
      </c>
      <c r="F35" s="27" t="s">
        <v>77</v>
      </c>
      <c r="G35" s="11">
        <v>300</v>
      </c>
      <c r="H35" s="13">
        <v>520.70000000000005</v>
      </c>
      <c r="I35" s="13">
        <v>130.19999999999999</v>
      </c>
      <c r="J35" s="13">
        <v>50.8</v>
      </c>
      <c r="K35" s="13">
        <v>381</v>
      </c>
      <c r="L35" s="13">
        <v>450.8</v>
      </c>
      <c r="M35" s="32">
        <v>16</v>
      </c>
      <c r="N35" s="13">
        <v>31.7</v>
      </c>
      <c r="O35" s="13">
        <v>374.6</v>
      </c>
      <c r="P35" s="13">
        <v>1.6</v>
      </c>
      <c r="Q35" s="13">
        <v>12.7</v>
      </c>
      <c r="R35" s="13">
        <v>6</v>
      </c>
      <c r="S35" s="36">
        <f t="shared" si="1"/>
        <v>171.6</v>
      </c>
      <c r="T35" s="36" t="s">
        <v>82</v>
      </c>
      <c r="U35" s="13">
        <v>24</v>
      </c>
      <c r="V35" s="13">
        <v>61.8</v>
      </c>
    </row>
    <row r="36" spans="1:22" ht="12.75" customHeight="1" x14ac:dyDescent="0.3">
      <c r="A36" s="2"/>
      <c r="B36" s="23" t="str">
        <f t="shared" si="0"/>
        <v>WNRF 300# ANSI B16.5 Size 14"</v>
      </c>
      <c r="C36" s="9" t="s">
        <v>39</v>
      </c>
      <c r="D36" s="37" t="s">
        <v>86</v>
      </c>
      <c r="E36" s="9" t="s">
        <v>40</v>
      </c>
      <c r="F36" s="27" t="s">
        <v>78</v>
      </c>
      <c r="G36" s="11">
        <v>350</v>
      </c>
      <c r="H36" s="13">
        <v>584.20000000000005</v>
      </c>
      <c r="I36" s="13">
        <v>142.9</v>
      </c>
      <c r="J36" s="13">
        <v>53.8</v>
      </c>
      <c r="K36" s="10">
        <v>412.7</v>
      </c>
      <c r="L36" s="13">
        <v>514.29999999999995</v>
      </c>
      <c r="M36" s="32">
        <v>20</v>
      </c>
      <c r="N36" s="13">
        <v>31.7</v>
      </c>
      <c r="O36" s="13">
        <v>425.4</v>
      </c>
      <c r="P36" s="13">
        <v>1.6</v>
      </c>
      <c r="Q36" s="13">
        <v>12.7</v>
      </c>
      <c r="R36" s="13">
        <v>7</v>
      </c>
      <c r="S36" s="36">
        <f t="shared" si="1"/>
        <v>178.6</v>
      </c>
      <c r="T36" s="36" t="s">
        <v>82</v>
      </c>
      <c r="U36" s="13">
        <v>24</v>
      </c>
      <c r="V36" s="13">
        <v>85.8</v>
      </c>
    </row>
    <row r="37" spans="1:22" ht="12.75" customHeight="1" x14ac:dyDescent="0.3">
      <c r="A37" s="2"/>
      <c r="B37" s="23" t="str">
        <f t="shared" si="0"/>
        <v>WNRF 300# ANSI B16.5 Size 16"</v>
      </c>
      <c r="C37" s="9" t="s">
        <v>39</v>
      </c>
      <c r="D37" s="37" t="s">
        <v>86</v>
      </c>
      <c r="E37" s="9" t="s">
        <v>40</v>
      </c>
      <c r="F37" s="27" t="s">
        <v>80</v>
      </c>
      <c r="G37" s="11">
        <v>400</v>
      </c>
      <c r="H37" s="13">
        <v>647.70000000000005</v>
      </c>
      <c r="I37" s="13">
        <v>146</v>
      </c>
      <c r="J37" s="13">
        <v>57.1</v>
      </c>
      <c r="K37" s="10">
        <v>469.9</v>
      </c>
      <c r="L37" s="13">
        <v>571.5</v>
      </c>
      <c r="M37" s="32">
        <v>20</v>
      </c>
      <c r="N37" s="13">
        <v>35</v>
      </c>
      <c r="O37" s="13">
        <v>482.6</v>
      </c>
      <c r="P37" s="13">
        <v>1.6</v>
      </c>
      <c r="Q37" s="13">
        <v>12.7</v>
      </c>
      <c r="R37" s="13">
        <v>7</v>
      </c>
      <c r="S37" s="36">
        <f t="shared" si="1"/>
        <v>189.2</v>
      </c>
      <c r="T37" s="36" t="s">
        <v>43</v>
      </c>
      <c r="U37" s="13">
        <v>26</v>
      </c>
      <c r="V37" s="13">
        <v>106</v>
      </c>
    </row>
    <row r="38" spans="1:22" ht="12.75" customHeight="1" x14ac:dyDescent="0.3">
      <c r="A38" s="2"/>
      <c r="B38" s="23" t="str">
        <f t="shared" si="0"/>
        <v>WNRF 300# ANSI B16.5 Size 18"</v>
      </c>
      <c r="C38" s="9" t="s">
        <v>39</v>
      </c>
      <c r="D38" s="37" t="s">
        <v>86</v>
      </c>
      <c r="E38" s="9" t="s">
        <v>40</v>
      </c>
      <c r="F38" s="27" t="s">
        <v>81</v>
      </c>
      <c r="G38" s="11">
        <v>450</v>
      </c>
      <c r="H38" s="13">
        <v>711.2</v>
      </c>
      <c r="I38" s="13">
        <v>158.69999999999999</v>
      </c>
      <c r="J38" s="13">
        <v>60.4</v>
      </c>
      <c r="K38" s="10">
        <v>533.4</v>
      </c>
      <c r="L38" s="13">
        <v>628.6</v>
      </c>
      <c r="M38" s="32">
        <v>24</v>
      </c>
      <c r="N38" s="13">
        <v>35</v>
      </c>
      <c r="O38" s="13">
        <v>533.4</v>
      </c>
      <c r="P38" s="13">
        <v>1.6</v>
      </c>
      <c r="Q38" s="13">
        <v>12.7</v>
      </c>
      <c r="R38" s="13">
        <v>7</v>
      </c>
      <c r="S38" s="36">
        <f t="shared" si="1"/>
        <v>195.8</v>
      </c>
      <c r="T38" s="36" t="s">
        <v>43</v>
      </c>
      <c r="U38" s="13">
        <v>26</v>
      </c>
      <c r="V38" s="13">
        <v>131</v>
      </c>
    </row>
    <row r="39" spans="1:22" ht="12.75" customHeight="1" x14ac:dyDescent="0.3">
      <c r="A39" s="2"/>
      <c r="B39" s="23" t="str">
        <f t="shared" si="0"/>
        <v>WNRF 300# ANSI B16.5 Size 20"</v>
      </c>
      <c r="C39" s="9" t="s">
        <v>39</v>
      </c>
      <c r="D39" s="37" t="s">
        <v>86</v>
      </c>
      <c r="E39" s="9" t="s">
        <v>40</v>
      </c>
      <c r="F39" s="27" t="s">
        <v>83</v>
      </c>
      <c r="G39" s="11">
        <v>500</v>
      </c>
      <c r="H39" s="13">
        <v>774.7</v>
      </c>
      <c r="I39" s="13">
        <v>161.9</v>
      </c>
      <c r="J39" s="13">
        <v>63.5</v>
      </c>
      <c r="K39" s="10">
        <v>584.20000000000005</v>
      </c>
      <c r="L39" s="13">
        <v>685.8</v>
      </c>
      <c r="M39" s="32">
        <v>24</v>
      </c>
      <c r="N39" s="13">
        <v>35</v>
      </c>
      <c r="O39" s="13">
        <v>587.20000000000005</v>
      </c>
      <c r="P39" s="13">
        <v>1.6</v>
      </c>
      <c r="Q39" s="13">
        <v>12.7</v>
      </c>
      <c r="R39" s="13">
        <v>7</v>
      </c>
      <c r="S39" s="36">
        <f t="shared" si="1"/>
        <v>202</v>
      </c>
      <c r="T39" s="36" t="s">
        <v>43</v>
      </c>
      <c r="U39" s="13">
        <v>26</v>
      </c>
      <c r="V39" s="13">
        <v>158</v>
      </c>
    </row>
    <row r="40" spans="1:22" ht="12.75" customHeight="1" x14ac:dyDescent="0.3">
      <c r="A40" s="2"/>
      <c r="B40" s="23" t="str">
        <f t="shared" si="0"/>
        <v>WNRF 300# ANSI B16.5 Size 22"</v>
      </c>
      <c r="C40" s="9" t="s">
        <v>39</v>
      </c>
      <c r="D40" s="37" t="s">
        <v>86</v>
      </c>
      <c r="E40" s="9" t="s">
        <v>40</v>
      </c>
      <c r="F40" s="27" t="s">
        <v>84</v>
      </c>
      <c r="G40" s="11">
        <v>550</v>
      </c>
      <c r="H40" s="13">
        <v>838.2</v>
      </c>
      <c r="I40" s="13">
        <v>165.1</v>
      </c>
      <c r="J40" s="13">
        <v>66.7</v>
      </c>
      <c r="K40" s="10">
        <v>641.20000000000005</v>
      </c>
      <c r="L40" s="13">
        <v>742.9</v>
      </c>
      <c r="M40" s="32">
        <v>24</v>
      </c>
      <c r="N40" s="13">
        <v>41.3</v>
      </c>
      <c r="O40" s="13">
        <v>641.20000000000005</v>
      </c>
      <c r="P40" s="13">
        <v>1.6</v>
      </c>
      <c r="Q40" s="13">
        <v>12.7</v>
      </c>
      <c r="R40" s="13">
        <v>7</v>
      </c>
      <c r="S40" s="36">
        <f t="shared" si="1"/>
        <v>218.4</v>
      </c>
      <c r="T40" s="36" t="s">
        <v>57</v>
      </c>
      <c r="U40" s="13">
        <v>31</v>
      </c>
      <c r="V40" s="13">
        <v>195</v>
      </c>
    </row>
    <row r="41" spans="1:22" ht="12.75" customHeight="1" x14ac:dyDescent="0.3">
      <c r="A41" s="2"/>
      <c r="B41" s="23" t="str">
        <f t="shared" si="0"/>
        <v>WNRF 300# ANSI B16.5 Size 24"</v>
      </c>
      <c r="C41" s="9" t="s">
        <v>39</v>
      </c>
      <c r="D41" s="37" t="s">
        <v>86</v>
      </c>
      <c r="E41" s="9" t="s">
        <v>40</v>
      </c>
      <c r="F41" s="27" t="s">
        <v>85</v>
      </c>
      <c r="G41" s="11">
        <v>600</v>
      </c>
      <c r="H41" s="13">
        <v>914.4</v>
      </c>
      <c r="I41" s="13">
        <v>168.3</v>
      </c>
      <c r="J41" s="13">
        <v>69.8</v>
      </c>
      <c r="K41" s="10">
        <v>692.1</v>
      </c>
      <c r="L41" s="13">
        <v>812.8</v>
      </c>
      <c r="M41" s="32">
        <v>24</v>
      </c>
      <c r="N41" s="13">
        <v>41.1</v>
      </c>
      <c r="O41" s="13">
        <v>701.5</v>
      </c>
      <c r="P41" s="13">
        <v>1.6</v>
      </c>
      <c r="Q41" s="13">
        <v>12.7</v>
      </c>
      <c r="R41" s="13">
        <v>7</v>
      </c>
      <c r="S41" s="36">
        <f t="shared" si="1"/>
        <v>224.6</v>
      </c>
      <c r="T41" s="36" t="s">
        <v>57</v>
      </c>
      <c r="U41" s="13">
        <v>31</v>
      </c>
      <c r="V41" s="13">
        <v>230</v>
      </c>
    </row>
    <row r="42" spans="1:22" ht="12.75" customHeight="1" x14ac:dyDescent="0.3">
      <c r="A42" s="2"/>
      <c r="B42" s="23" t="str">
        <f t="shared" si="0"/>
        <v>WNRF 300# ANSI B16.5 Size 26"</v>
      </c>
      <c r="C42" s="9" t="s">
        <v>39</v>
      </c>
      <c r="D42" s="37" t="s">
        <v>86</v>
      </c>
      <c r="E42" s="9" t="s">
        <v>40</v>
      </c>
      <c r="F42" s="27" t="s">
        <v>41</v>
      </c>
      <c r="G42" s="11">
        <v>650</v>
      </c>
      <c r="H42" s="13">
        <v>971.5</v>
      </c>
      <c r="I42" s="13">
        <v>184.1</v>
      </c>
      <c r="J42" s="13">
        <v>79.400000000000006</v>
      </c>
      <c r="K42" s="10">
        <v>749.3</v>
      </c>
      <c r="L42" s="13">
        <v>876.3</v>
      </c>
      <c r="M42" s="32">
        <v>28</v>
      </c>
      <c r="N42" s="13">
        <v>44.4</v>
      </c>
      <c r="O42" s="13">
        <v>720.7</v>
      </c>
      <c r="P42" s="13">
        <v>1.6</v>
      </c>
      <c r="Q42" s="13">
        <v>12.7</v>
      </c>
      <c r="R42" s="13">
        <v>7</v>
      </c>
      <c r="S42" s="36">
        <f t="shared" si="1"/>
        <v>249.8</v>
      </c>
      <c r="T42" s="36" t="s">
        <v>87</v>
      </c>
      <c r="U42" s="13">
        <v>34</v>
      </c>
      <c r="V42" s="13">
        <v>279</v>
      </c>
    </row>
    <row r="43" spans="1:22" ht="12.75" customHeight="1" x14ac:dyDescent="0.3">
      <c r="A43" s="2"/>
      <c r="B43" s="23" t="str">
        <f t="shared" si="0"/>
        <v>WNRF 300# ANSI B16.5 Size 30"</v>
      </c>
      <c r="C43" s="9" t="s">
        <v>39</v>
      </c>
      <c r="D43" s="37" t="s">
        <v>86</v>
      </c>
      <c r="E43" s="9" t="s">
        <v>40</v>
      </c>
      <c r="F43" s="27" t="s">
        <v>45</v>
      </c>
      <c r="G43" s="11">
        <v>750</v>
      </c>
      <c r="H43" s="13">
        <v>1092.2</v>
      </c>
      <c r="I43" s="13">
        <v>209.5</v>
      </c>
      <c r="J43" s="13">
        <v>92.1</v>
      </c>
      <c r="K43" s="10">
        <v>857.2</v>
      </c>
      <c r="L43" s="13">
        <v>996.9</v>
      </c>
      <c r="M43" s="32">
        <v>28</v>
      </c>
      <c r="N43" s="13">
        <v>47.6</v>
      </c>
      <c r="O43" s="13">
        <v>827.1</v>
      </c>
      <c r="P43" s="13">
        <v>1.6</v>
      </c>
      <c r="Q43" s="13">
        <v>12.7</v>
      </c>
      <c r="R43" s="13">
        <v>7</v>
      </c>
      <c r="S43" s="36">
        <f t="shared" si="1"/>
        <v>279.2</v>
      </c>
      <c r="T43" s="36" t="s">
        <v>88</v>
      </c>
      <c r="U43" s="13">
        <v>36</v>
      </c>
      <c r="V43" s="13">
        <v>390</v>
      </c>
    </row>
    <row r="44" spans="1:22" ht="12.75" customHeight="1" x14ac:dyDescent="0.3">
      <c r="A44" s="2"/>
      <c r="B44" s="23" t="str">
        <f t="shared" si="0"/>
        <v>WNRF 300# ANSI B16.5 Size 34"</v>
      </c>
      <c r="C44" s="9" t="s">
        <v>39</v>
      </c>
      <c r="D44" s="37" t="s">
        <v>86</v>
      </c>
      <c r="E44" s="9" t="s">
        <v>40</v>
      </c>
      <c r="F44" s="27" t="s">
        <v>48</v>
      </c>
      <c r="G44" s="11">
        <v>850</v>
      </c>
      <c r="H44" s="13">
        <v>1206.5</v>
      </c>
      <c r="I44" s="13">
        <v>231.8</v>
      </c>
      <c r="J44" s="13">
        <v>1016</v>
      </c>
      <c r="K44" s="10">
        <v>965.2</v>
      </c>
      <c r="L44" s="13">
        <v>1104.9000000000001</v>
      </c>
      <c r="M44" s="32">
        <v>28</v>
      </c>
      <c r="N44" s="13">
        <v>50.8</v>
      </c>
      <c r="O44" s="13">
        <v>936.6</v>
      </c>
      <c r="P44" s="13">
        <v>1.6</v>
      </c>
      <c r="Q44" s="13">
        <v>12.7</v>
      </c>
      <c r="R44" s="13">
        <v>7</v>
      </c>
      <c r="S44" s="36">
        <f t="shared" si="1"/>
        <v>2131</v>
      </c>
      <c r="T44" s="36" t="s">
        <v>89</v>
      </c>
      <c r="U44" s="13">
        <v>38</v>
      </c>
      <c r="V44" s="13">
        <v>504</v>
      </c>
    </row>
    <row r="45" spans="1:22" ht="12.75" customHeight="1" x14ac:dyDescent="0.3">
      <c r="A45" s="2"/>
      <c r="B45" s="23" t="str">
        <f t="shared" si="0"/>
        <v>WNRF 300# ANSI B16.5 Size 36"</v>
      </c>
      <c r="C45" s="9" t="s">
        <v>39</v>
      </c>
      <c r="D45" s="37" t="s">
        <v>86</v>
      </c>
      <c r="E45" s="9" t="s">
        <v>40</v>
      </c>
      <c r="F45" s="27" t="s">
        <v>49</v>
      </c>
      <c r="G45" s="11">
        <v>900</v>
      </c>
      <c r="H45" s="13">
        <v>1270</v>
      </c>
      <c r="I45" s="13">
        <v>241.3</v>
      </c>
      <c r="J45" s="13">
        <v>104.8</v>
      </c>
      <c r="K45" s="10">
        <v>1022.3</v>
      </c>
      <c r="L45" s="13">
        <v>1168.4000000000001</v>
      </c>
      <c r="M45" s="32">
        <v>32</v>
      </c>
      <c r="N45" s="13">
        <v>54</v>
      </c>
      <c r="O45" s="13">
        <v>990.6</v>
      </c>
      <c r="P45" s="13">
        <v>1.6</v>
      </c>
      <c r="Q45" s="13">
        <v>12.7</v>
      </c>
      <c r="R45" s="13">
        <v>7</v>
      </c>
      <c r="S45" s="36">
        <f t="shared" si="1"/>
        <v>316.60000000000002</v>
      </c>
      <c r="T45" s="36" t="s">
        <v>90</v>
      </c>
      <c r="U45" s="13">
        <v>42</v>
      </c>
      <c r="V45" s="13">
        <v>560</v>
      </c>
    </row>
    <row r="46" spans="1:22" ht="12.75" customHeight="1" x14ac:dyDescent="0.3">
      <c r="A46" s="2"/>
      <c r="B46" s="23" t="str">
        <f t="shared" si="0"/>
        <v>WNRF 300# ANSI B16.5 Size 42"</v>
      </c>
      <c r="C46" s="9" t="s">
        <v>39</v>
      </c>
      <c r="D46" s="37" t="s">
        <v>86</v>
      </c>
      <c r="E46" s="9" t="s">
        <v>40</v>
      </c>
      <c r="F46" s="27" t="s">
        <v>52</v>
      </c>
      <c r="G46" s="11">
        <v>1050</v>
      </c>
      <c r="H46" s="13">
        <v>1447.8</v>
      </c>
      <c r="I46" s="13">
        <v>276.2</v>
      </c>
      <c r="J46" s="13">
        <v>117.5</v>
      </c>
      <c r="K46" s="10">
        <v>1193.8</v>
      </c>
      <c r="L46" s="13">
        <v>1339.8</v>
      </c>
      <c r="M46" s="32">
        <v>36</v>
      </c>
      <c r="N46" s="13">
        <v>54</v>
      </c>
      <c r="O46" s="13">
        <v>1154.0999999999999</v>
      </c>
      <c r="P46" s="13">
        <v>1.6</v>
      </c>
      <c r="Q46" s="13">
        <v>12.7</v>
      </c>
      <c r="R46" s="13">
        <v>7</v>
      </c>
      <c r="S46" s="36">
        <f t="shared" si="1"/>
        <v>342</v>
      </c>
      <c r="T46" s="36" t="s">
        <v>90</v>
      </c>
      <c r="U46" s="13">
        <v>42</v>
      </c>
      <c r="V46" s="13">
        <v>790</v>
      </c>
    </row>
    <row r="47" spans="1:22" ht="12.75" customHeight="1" x14ac:dyDescent="0.3">
      <c r="A47" s="2"/>
      <c r="B47" s="22" t="str">
        <f t="shared" ref="B47:B94" si="2">CONCATENATE(C47,D47,$C$1,E47,$C$1,$F$1,$C$1,F47)</f>
        <v>WNRF 600# ANSI B16.5 Size 1/2"</v>
      </c>
      <c r="C47" s="9" t="s">
        <v>39</v>
      </c>
      <c r="D47" s="37" t="s">
        <v>92</v>
      </c>
      <c r="E47" s="9" t="s">
        <v>40</v>
      </c>
      <c r="F47" s="27" t="s">
        <v>62</v>
      </c>
      <c r="G47" s="11">
        <v>15</v>
      </c>
      <c r="H47" s="13">
        <v>95.3</v>
      </c>
      <c r="I47" s="13">
        <v>58.7</v>
      </c>
      <c r="J47" s="13">
        <v>20.6</v>
      </c>
      <c r="K47" s="13">
        <v>35.1</v>
      </c>
      <c r="L47" s="13">
        <v>66.5</v>
      </c>
      <c r="M47" s="32">
        <v>4</v>
      </c>
      <c r="N47" s="13">
        <v>15.7</v>
      </c>
      <c r="O47" s="13">
        <v>38.1</v>
      </c>
      <c r="P47" s="13">
        <v>6.4</v>
      </c>
      <c r="Q47" s="13">
        <v>3</v>
      </c>
      <c r="R47" s="13">
        <v>3</v>
      </c>
      <c r="S47" s="36">
        <f t="shared" ref="S47:S94" si="3">(J47+U47+8)*2+R47</f>
        <v>80.2</v>
      </c>
      <c r="T47" s="37" t="s">
        <v>63</v>
      </c>
      <c r="U47" s="13">
        <v>10</v>
      </c>
      <c r="V47" s="13">
        <v>0.87</v>
      </c>
    </row>
    <row r="48" spans="1:22" ht="12.75" customHeight="1" x14ac:dyDescent="0.3">
      <c r="A48" s="2"/>
      <c r="B48" s="23" t="str">
        <f t="shared" si="2"/>
        <v>WNRF 600# ANSI B16.5 Size 3/4"</v>
      </c>
      <c r="C48" s="9" t="s">
        <v>39</v>
      </c>
      <c r="D48" s="37" t="s">
        <v>92</v>
      </c>
      <c r="E48" s="9" t="s">
        <v>40</v>
      </c>
      <c r="F48" s="27" t="s">
        <v>64</v>
      </c>
      <c r="G48" s="11">
        <v>20</v>
      </c>
      <c r="H48" s="13">
        <v>117.3</v>
      </c>
      <c r="I48" s="13">
        <v>63.6</v>
      </c>
      <c r="J48" s="13">
        <v>22.1</v>
      </c>
      <c r="K48" s="10">
        <v>42.9</v>
      </c>
      <c r="L48" s="13">
        <v>82.6</v>
      </c>
      <c r="M48" s="32">
        <v>4</v>
      </c>
      <c r="N48" s="13">
        <v>19.100000000000001</v>
      </c>
      <c r="O48" s="13">
        <v>47.8</v>
      </c>
      <c r="P48" s="13">
        <v>6.4</v>
      </c>
      <c r="Q48" s="13">
        <v>3</v>
      </c>
      <c r="R48" s="13">
        <v>3</v>
      </c>
      <c r="S48" s="36">
        <f t="shared" si="3"/>
        <v>89.2</v>
      </c>
      <c r="T48" s="36" t="s">
        <v>68</v>
      </c>
      <c r="U48" s="13">
        <v>13</v>
      </c>
      <c r="V48" s="13">
        <v>1.45</v>
      </c>
    </row>
    <row r="49" spans="1:22" ht="12.75" customHeight="1" x14ac:dyDescent="0.3">
      <c r="A49" s="2"/>
      <c r="B49" s="23" t="str">
        <f t="shared" si="2"/>
        <v>WNRF 600# ANSI B16.5 Size 1"</v>
      </c>
      <c r="C49" s="9" t="s">
        <v>39</v>
      </c>
      <c r="D49" s="37" t="s">
        <v>92</v>
      </c>
      <c r="E49" s="9" t="s">
        <v>40</v>
      </c>
      <c r="F49" s="27" t="s">
        <v>65</v>
      </c>
      <c r="G49" s="11">
        <v>25</v>
      </c>
      <c r="H49" s="13">
        <v>124</v>
      </c>
      <c r="I49" s="13">
        <v>68.400000000000006</v>
      </c>
      <c r="J49" s="13">
        <v>23.9</v>
      </c>
      <c r="K49" s="10">
        <v>50.8</v>
      </c>
      <c r="L49" s="13">
        <v>88.9</v>
      </c>
      <c r="M49" s="32">
        <v>4</v>
      </c>
      <c r="N49" s="13">
        <v>19.100000000000001</v>
      </c>
      <c r="O49" s="13">
        <v>53.8</v>
      </c>
      <c r="P49" s="13">
        <v>6.4</v>
      </c>
      <c r="Q49" s="13">
        <v>3</v>
      </c>
      <c r="R49" s="13">
        <v>3</v>
      </c>
      <c r="S49" s="36">
        <f t="shared" si="3"/>
        <v>92.8</v>
      </c>
      <c r="T49" s="36" t="s">
        <v>68</v>
      </c>
      <c r="U49" s="13">
        <v>13</v>
      </c>
      <c r="V49" s="13">
        <v>1.76</v>
      </c>
    </row>
    <row r="50" spans="1:22" ht="12.75" customHeight="1" x14ac:dyDescent="0.3">
      <c r="A50" s="2"/>
      <c r="B50" s="23" t="str">
        <f t="shared" si="2"/>
        <v>WNRF 600# ANSI B16.5 Size 1½"</v>
      </c>
      <c r="C50" s="9" t="s">
        <v>39</v>
      </c>
      <c r="D50" s="37" t="s">
        <v>92</v>
      </c>
      <c r="E50" s="9" t="s">
        <v>40</v>
      </c>
      <c r="F50" s="27" t="s">
        <v>66</v>
      </c>
      <c r="G50" s="11">
        <v>40</v>
      </c>
      <c r="H50" s="13">
        <v>155.4</v>
      </c>
      <c r="I50" s="13">
        <v>76.3</v>
      </c>
      <c r="J50" s="13">
        <v>28.4</v>
      </c>
      <c r="K50" s="10">
        <v>73.2</v>
      </c>
      <c r="L50" s="13">
        <v>114.3</v>
      </c>
      <c r="M50" s="32">
        <v>4</v>
      </c>
      <c r="N50" s="13">
        <v>22.3</v>
      </c>
      <c r="O50" s="13">
        <v>69.900000000000006</v>
      </c>
      <c r="P50" s="13">
        <v>6.4</v>
      </c>
      <c r="Q50" s="13">
        <v>6.35</v>
      </c>
      <c r="R50" s="13">
        <v>3</v>
      </c>
      <c r="S50" s="36">
        <f t="shared" si="3"/>
        <v>107.8</v>
      </c>
      <c r="T50" s="37" t="s">
        <v>72</v>
      </c>
      <c r="U50" s="13">
        <v>16</v>
      </c>
      <c r="V50" s="13">
        <v>3.49</v>
      </c>
    </row>
    <row r="51" spans="1:22" ht="12.75" customHeight="1" x14ac:dyDescent="0.3">
      <c r="A51" s="2"/>
      <c r="B51" s="23" t="str">
        <f t="shared" si="2"/>
        <v>WNRF 600# ANSI B16.5 Size 2"</v>
      </c>
      <c r="C51" s="9" t="s">
        <v>39</v>
      </c>
      <c r="D51" s="37" t="s">
        <v>92</v>
      </c>
      <c r="E51" s="9" t="s">
        <v>40</v>
      </c>
      <c r="F51" s="27" t="s">
        <v>67</v>
      </c>
      <c r="G51" s="11">
        <v>50</v>
      </c>
      <c r="H51" s="13">
        <v>165.1</v>
      </c>
      <c r="I51" s="13">
        <v>79.599999999999994</v>
      </c>
      <c r="J51" s="13">
        <v>31.8</v>
      </c>
      <c r="K51" s="10">
        <v>91.9</v>
      </c>
      <c r="L51" s="13">
        <v>127</v>
      </c>
      <c r="M51" s="32">
        <v>8</v>
      </c>
      <c r="N51" s="13">
        <v>19.100000000000001</v>
      </c>
      <c r="O51" s="13">
        <v>84.1</v>
      </c>
      <c r="P51" s="13">
        <v>6.4</v>
      </c>
      <c r="Q51" s="13">
        <v>7.87</v>
      </c>
      <c r="R51" s="13">
        <v>4</v>
      </c>
      <c r="S51" s="36">
        <f t="shared" si="3"/>
        <v>109.6</v>
      </c>
      <c r="T51" s="36" t="s">
        <v>68</v>
      </c>
      <c r="U51" s="13">
        <v>13</v>
      </c>
      <c r="V51" s="13">
        <v>4.3600000000000003</v>
      </c>
    </row>
    <row r="52" spans="1:22" ht="12.75" customHeight="1" x14ac:dyDescent="0.3">
      <c r="A52" s="2"/>
      <c r="B52" s="23" t="str">
        <f t="shared" si="2"/>
        <v>WNRF 600# ANSI B16.5 Size 3"</v>
      </c>
      <c r="C52" s="9" t="s">
        <v>39</v>
      </c>
      <c r="D52" s="37" t="s">
        <v>92</v>
      </c>
      <c r="E52" s="9" t="s">
        <v>40</v>
      </c>
      <c r="F52" s="27" t="s">
        <v>69</v>
      </c>
      <c r="G52" s="11">
        <v>80</v>
      </c>
      <c r="H52" s="13">
        <v>209.6</v>
      </c>
      <c r="I52" s="13">
        <v>89</v>
      </c>
      <c r="J52" s="13">
        <v>38.4</v>
      </c>
      <c r="K52" s="13">
        <v>127</v>
      </c>
      <c r="L52" s="13">
        <v>168.1</v>
      </c>
      <c r="M52" s="32">
        <v>8</v>
      </c>
      <c r="N52" s="13">
        <v>22.4</v>
      </c>
      <c r="O52" s="13">
        <v>117.3</v>
      </c>
      <c r="P52" s="13">
        <v>6.4</v>
      </c>
      <c r="Q52" s="13">
        <v>9.65</v>
      </c>
      <c r="R52" s="13">
        <v>4</v>
      </c>
      <c r="S52" s="36">
        <f t="shared" si="3"/>
        <v>128.80000000000001</v>
      </c>
      <c r="T52" s="36" t="s">
        <v>72</v>
      </c>
      <c r="U52" s="13">
        <v>16</v>
      </c>
      <c r="V52" s="13">
        <v>8.5299999999999994</v>
      </c>
    </row>
    <row r="53" spans="1:22" ht="12.75" customHeight="1" x14ac:dyDescent="0.3">
      <c r="A53" s="2"/>
      <c r="B53" s="23" t="str">
        <f t="shared" si="2"/>
        <v>WNRF 600# ANSI B16.5 Size 4"</v>
      </c>
      <c r="C53" s="9" t="s">
        <v>39</v>
      </c>
      <c r="D53" s="37" t="s">
        <v>92</v>
      </c>
      <c r="E53" s="9" t="s">
        <v>40</v>
      </c>
      <c r="F53" s="27" t="s">
        <v>70</v>
      </c>
      <c r="G53" s="11">
        <v>100</v>
      </c>
      <c r="H53" s="13">
        <v>273.10000000000002</v>
      </c>
      <c r="I53" s="13">
        <v>108</v>
      </c>
      <c r="J53" s="13">
        <v>44.5</v>
      </c>
      <c r="K53" s="10">
        <v>157.19999999999999</v>
      </c>
      <c r="L53" s="13">
        <v>215.9</v>
      </c>
      <c r="M53" s="32">
        <v>8</v>
      </c>
      <c r="N53" s="13">
        <v>25.4</v>
      </c>
      <c r="O53" s="13">
        <v>152.4</v>
      </c>
      <c r="P53" s="13">
        <v>6.4</v>
      </c>
      <c r="Q53" s="13">
        <v>11.18</v>
      </c>
      <c r="R53" s="13">
        <v>5</v>
      </c>
      <c r="S53" s="36">
        <f t="shared" si="3"/>
        <v>148</v>
      </c>
      <c r="T53" s="36" t="s">
        <v>76</v>
      </c>
      <c r="U53" s="13">
        <v>19</v>
      </c>
      <c r="V53" s="13">
        <v>17.399999999999999</v>
      </c>
    </row>
    <row r="54" spans="1:22" ht="12.75" customHeight="1" x14ac:dyDescent="0.3">
      <c r="A54" s="2"/>
      <c r="B54" s="23" t="str">
        <f t="shared" si="2"/>
        <v>WNRF 600# ANSI B16.5 Size 6"</v>
      </c>
      <c r="C54" s="9" t="s">
        <v>39</v>
      </c>
      <c r="D54" s="37" t="s">
        <v>92</v>
      </c>
      <c r="E54" s="9" t="s">
        <v>40</v>
      </c>
      <c r="F54" s="27" t="s">
        <v>73</v>
      </c>
      <c r="G54" s="11">
        <v>150</v>
      </c>
      <c r="H54" s="13">
        <v>355.6</v>
      </c>
      <c r="I54" s="13">
        <v>133.69999999999999</v>
      </c>
      <c r="J54" s="13">
        <v>54.2</v>
      </c>
      <c r="K54" s="10">
        <v>215.9</v>
      </c>
      <c r="L54" s="13">
        <v>292.10000000000002</v>
      </c>
      <c r="M54" s="32">
        <v>12</v>
      </c>
      <c r="N54" s="13">
        <v>28.4</v>
      </c>
      <c r="O54" s="13">
        <v>222.3</v>
      </c>
      <c r="P54" s="13">
        <v>6.4</v>
      </c>
      <c r="Q54" s="13">
        <v>12.7</v>
      </c>
      <c r="R54" s="13">
        <v>6</v>
      </c>
      <c r="S54" s="36">
        <f t="shared" si="3"/>
        <v>174.4</v>
      </c>
      <c r="T54" s="36" t="s">
        <v>79</v>
      </c>
      <c r="U54" s="13">
        <v>22</v>
      </c>
      <c r="V54" s="13">
        <v>34.9</v>
      </c>
    </row>
    <row r="55" spans="1:22" ht="12.75" customHeight="1" x14ac:dyDescent="0.3">
      <c r="A55" s="2"/>
      <c r="B55" s="23" t="str">
        <f t="shared" si="2"/>
        <v>WNRF 600# ANSI B16.5 Size 8"</v>
      </c>
      <c r="C55" s="9" t="s">
        <v>39</v>
      </c>
      <c r="D55" s="37" t="s">
        <v>92</v>
      </c>
      <c r="E55" s="9" t="s">
        <v>40</v>
      </c>
      <c r="F55" s="27" t="s">
        <v>74</v>
      </c>
      <c r="G55" s="11">
        <v>200</v>
      </c>
      <c r="H55" s="13">
        <v>419.1</v>
      </c>
      <c r="I55" s="13">
        <v>139.80000000000001</v>
      </c>
      <c r="J55" s="13">
        <v>62</v>
      </c>
      <c r="K55" s="10">
        <v>269.7</v>
      </c>
      <c r="L55" s="13">
        <v>349.3</v>
      </c>
      <c r="M55" s="32">
        <v>12</v>
      </c>
      <c r="N55" s="13">
        <v>31.8</v>
      </c>
      <c r="O55" s="13">
        <v>273.10000000000002</v>
      </c>
      <c r="P55" s="13">
        <v>6.4</v>
      </c>
      <c r="Q55" s="13">
        <v>12.7</v>
      </c>
      <c r="R55" s="13">
        <v>6</v>
      </c>
      <c r="S55" s="36">
        <f t="shared" si="3"/>
        <v>194</v>
      </c>
      <c r="T55" s="36" t="s">
        <v>82</v>
      </c>
      <c r="U55" s="13">
        <v>24</v>
      </c>
      <c r="V55" s="13">
        <v>53.9</v>
      </c>
    </row>
    <row r="56" spans="1:22" ht="12.75" customHeight="1" x14ac:dyDescent="0.3">
      <c r="A56" s="2"/>
      <c r="B56" s="23" t="str">
        <f t="shared" si="2"/>
        <v>WNRF 600# ANSI B16.5 Size 10"</v>
      </c>
      <c r="C56" s="9" t="s">
        <v>39</v>
      </c>
      <c r="D56" s="37" t="s">
        <v>92</v>
      </c>
      <c r="E56" s="9" t="s">
        <v>40</v>
      </c>
      <c r="F56" s="27" t="s">
        <v>75</v>
      </c>
      <c r="G56" s="11">
        <v>250</v>
      </c>
      <c r="H56" s="13">
        <v>508</v>
      </c>
      <c r="I56" s="13">
        <v>158.80000000000001</v>
      </c>
      <c r="J56" s="13">
        <v>69.900000000000006</v>
      </c>
      <c r="K56" s="10">
        <v>323.89999999999998</v>
      </c>
      <c r="L56" s="13">
        <v>431.8</v>
      </c>
      <c r="M56" s="32">
        <v>16</v>
      </c>
      <c r="N56" s="13">
        <v>35.1</v>
      </c>
      <c r="O56" s="13">
        <v>342.9</v>
      </c>
      <c r="P56" s="13">
        <v>6.4</v>
      </c>
      <c r="Q56" s="13">
        <v>12.7</v>
      </c>
      <c r="R56" s="13">
        <v>6</v>
      </c>
      <c r="S56" s="36">
        <f t="shared" si="3"/>
        <v>213.8</v>
      </c>
      <c r="T56" s="36" t="s">
        <v>43</v>
      </c>
      <c r="U56" s="13">
        <v>26</v>
      </c>
      <c r="V56" s="13">
        <v>86.5</v>
      </c>
    </row>
    <row r="57" spans="1:22" ht="12.75" customHeight="1" x14ac:dyDescent="0.3">
      <c r="A57" s="2"/>
      <c r="B57" s="23" t="str">
        <f t="shared" si="2"/>
        <v>WNRF 600# ANSI B16.5 Size 12"</v>
      </c>
      <c r="C57" s="9" t="s">
        <v>39</v>
      </c>
      <c r="D57" s="37" t="s">
        <v>92</v>
      </c>
      <c r="E57" s="9" t="s">
        <v>40</v>
      </c>
      <c r="F57" s="27" t="s">
        <v>77</v>
      </c>
      <c r="G57" s="11">
        <v>300</v>
      </c>
      <c r="H57" s="13">
        <v>558.79999999999995</v>
      </c>
      <c r="I57" s="13">
        <v>161.80000000000001</v>
      </c>
      <c r="J57" s="13">
        <v>72.900000000000006</v>
      </c>
      <c r="K57" s="13">
        <v>381</v>
      </c>
      <c r="L57" s="13">
        <v>489</v>
      </c>
      <c r="M57" s="32">
        <v>20</v>
      </c>
      <c r="N57" s="13">
        <v>35.1</v>
      </c>
      <c r="O57" s="13">
        <v>400.1</v>
      </c>
      <c r="P57" s="13">
        <v>6.4</v>
      </c>
      <c r="Q57" s="13">
        <v>12.7</v>
      </c>
      <c r="R57" s="13">
        <v>6</v>
      </c>
      <c r="S57" s="36">
        <f t="shared" si="3"/>
        <v>219.8</v>
      </c>
      <c r="T57" s="36" t="s">
        <v>43</v>
      </c>
      <c r="U57" s="13">
        <v>26</v>
      </c>
      <c r="V57" s="13">
        <v>103</v>
      </c>
    </row>
    <row r="58" spans="1:22" ht="12.75" customHeight="1" x14ac:dyDescent="0.3">
      <c r="A58" s="2"/>
      <c r="B58" s="23" t="str">
        <f t="shared" si="2"/>
        <v>WNRF 600# ANSI B16.5 Size 14"</v>
      </c>
      <c r="C58" s="9" t="s">
        <v>39</v>
      </c>
      <c r="D58" s="37" t="s">
        <v>92</v>
      </c>
      <c r="E58" s="9" t="s">
        <v>40</v>
      </c>
      <c r="F58" s="27" t="s">
        <v>78</v>
      </c>
      <c r="G58" s="11">
        <v>350</v>
      </c>
      <c r="H58" s="13">
        <v>603.29999999999995</v>
      </c>
      <c r="I58" s="13">
        <v>171.5</v>
      </c>
      <c r="J58" s="13">
        <v>76.3</v>
      </c>
      <c r="K58" s="10">
        <v>412.8</v>
      </c>
      <c r="L58" s="13">
        <v>527.1</v>
      </c>
      <c r="M58" s="32">
        <v>20</v>
      </c>
      <c r="N58" s="13">
        <v>38.1</v>
      </c>
      <c r="O58" s="13">
        <v>431.8</v>
      </c>
      <c r="P58" s="13">
        <v>6.4</v>
      </c>
      <c r="Q58" s="13">
        <v>12.7</v>
      </c>
      <c r="R58" s="13">
        <v>7</v>
      </c>
      <c r="S58" s="36">
        <f t="shared" si="3"/>
        <v>233.6</v>
      </c>
      <c r="T58" s="36" t="s">
        <v>47</v>
      </c>
      <c r="U58" s="13">
        <v>29</v>
      </c>
      <c r="V58" s="13">
        <v>158</v>
      </c>
    </row>
    <row r="59" spans="1:22" ht="12.75" customHeight="1" x14ac:dyDescent="0.3">
      <c r="A59" s="2"/>
      <c r="B59" s="23" t="str">
        <f t="shared" si="2"/>
        <v>WNRF 600# ANSI B16.5 Size 16"</v>
      </c>
      <c r="C59" s="9" t="s">
        <v>39</v>
      </c>
      <c r="D59" s="37" t="s">
        <v>92</v>
      </c>
      <c r="E59" s="9" t="s">
        <v>40</v>
      </c>
      <c r="F59" s="27" t="s">
        <v>80</v>
      </c>
      <c r="G59" s="11">
        <v>400</v>
      </c>
      <c r="H59" s="13">
        <v>685.8</v>
      </c>
      <c r="I59" s="13">
        <v>184.2</v>
      </c>
      <c r="J59" s="13">
        <v>82.6</v>
      </c>
      <c r="K59" s="10">
        <v>469.9</v>
      </c>
      <c r="L59" s="13">
        <v>603.29999999999995</v>
      </c>
      <c r="M59" s="32">
        <v>20</v>
      </c>
      <c r="N59" s="13">
        <v>41.1</v>
      </c>
      <c r="O59" s="13">
        <v>495.3</v>
      </c>
      <c r="P59" s="13">
        <v>6.4</v>
      </c>
      <c r="Q59" s="13">
        <v>12.7</v>
      </c>
      <c r="R59" s="13">
        <v>7</v>
      </c>
      <c r="S59" s="36">
        <f t="shared" si="3"/>
        <v>250.2</v>
      </c>
      <c r="T59" s="36" t="s">
        <v>57</v>
      </c>
      <c r="U59" s="13">
        <v>31</v>
      </c>
      <c r="V59" s="13">
        <v>219</v>
      </c>
    </row>
    <row r="60" spans="1:22" ht="12.75" customHeight="1" x14ac:dyDescent="0.3">
      <c r="A60" s="2"/>
      <c r="B60" s="23" t="str">
        <f t="shared" si="2"/>
        <v>WNRF 600# ANSI B16.5 Size 18"</v>
      </c>
      <c r="C60" s="9" t="s">
        <v>39</v>
      </c>
      <c r="D60" s="37" t="s">
        <v>92</v>
      </c>
      <c r="E60" s="9" t="s">
        <v>40</v>
      </c>
      <c r="F60" s="27" t="s">
        <v>81</v>
      </c>
      <c r="G60" s="11">
        <v>450</v>
      </c>
      <c r="H60" s="13">
        <v>743</v>
      </c>
      <c r="I60" s="13">
        <v>190.6</v>
      </c>
      <c r="J60" s="13">
        <v>89</v>
      </c>
      <c r="K60" s="10">
        <v>533.4</v>
      </c>
      <c r="L60" s="13">
        <v>654.1</v>
      </c>
      <c r="M60" s="32">
        <v>20</v>
      </c>
      <c r="N60" s="13">
        <v>44.5</v>
      </c>
      <c r="O60" s="13">
        <v>546.1</v>
      </c>
      <c r="P60" s="13">
        <v>6.4</v>
      </c>
      <c r="Q60" s="13">
        <v>12.7</v>
      </c>
      <c r="R60" s="13">
        <v>7</v>
      </c>
      <c r="S60" s="36">
        <f t="shared" si="3"/>
        <v>269</v>
      </c>
      <c r="T60" s="36" t="s">
        <v>87</v>
      </c>
      <c r="U60" s="13">
        <v>34</v>
      </c>
      <c r="V60" s="13">
        <v>252</v>
      </c>
    </row>
    <row r="61" spans="1:22" ht="12.75" customHeight="1" x14ac:dyDescent="0.3">
      <c r="A61" s="2"/>
      <c r="B61" s="23" t="str">
        <f t="shared" si="2"/>
        <v>WNRF 600# ANSI B16.5 Size 20"</v>
      </c>
      <c r="C61" s="9" t="s">
        <v>39</v>
      </c>
      <c r="D61" s="37" t="s">
        <v>92</v>
      </c>
      <c r="E61" s="9" t="s">
        <v>40</v>
      </c>
      <c r="F61" s="27" t="s">
        <v>83</v>
      </c>
      <c r="G61" s="11">
        <v>500</v>
      </c>
      <c r="H61" s="13">
        <v>812.8</v>
      </c>
      <c r="I61" s="13">
        <v>196.9</v>
      </c>
      <c r="J61" s="13">
        <v>95.3</v>
      </c>
      <c r="K61" s="10">
        <v>584.20000000000005</v>
      </c>
      <c r="L61" s="13">
        <v>723.9</v>
      </c>
      <c r="M61" s="32">
        <v>24</v>
      </c>
      <c r="N61" s="13">
        <v>44.5</v>
      </c>
      <c r="O61" s="13">
        <v>609.6</v>
      </c>
      <c r="P61" s="13">
        <v>6.4</v>
      </c>
      <c r="Q61" s="13">
        <v>12.7</v>
      </c>
      <c r="R61" s="13">
        <v>7</v>
      </c>
      <c r="S61" s="36">
        <f t="shared" si="3"/>
        <v>281.60000000000002</v>
      </c>
      <c r="T61" s="36" t="s">
        <v>87</v>
      </c>
      <c r="U61" s="13">
        <v>34</v>
      </c>
      <c r="V61" s="13">
        <v>313</v>
      </c>
    </row>
    <row r="62" spans="1:22" ht="12.75" customHeight="1" x14ac:dyDescent="0.3">
      <c r="A62" s="2"/>
      <c r="B62" s="23" t="str">
        <f t="shared" si="2"/>
        <v>WNRF 600# ANSI B16.5 Size 22"</v>
      </c>
      <c r="C62" s="9" t="s">
        <v>39</v>
      </c>
      <c r="D62" s="37" t="s">
        <v>92</v>
      </c>
      <c r="E62" s="9" t="s">
        <v>40</v>
      </c>
      <c r="F62" s="27" t="s">
        <v>84</v>
      </c>
      <c r="G62" s="11">
        <v>550</v>
      </c>
      <c r="H62" s="13">
        <v>869.9</v>
      </c>
      <c r="I62" s="13">
        <v>203.2</v>
      </c>
      <c r="J62" s="13">
        <v>99.6</v>
      </c>
      <c r="K62" s="10">
        <v>641.20000000000005</v>
      </c>
      <c r="L62" s="13">
        <v>777.9</v>
      </c>
      <c r="M62" s="32">
        <v>24</v>
      </c>
      <c r="N62" s="13">
        <v>47.6</v>
      </c>
      <c r="O62" s="13">
        <v>666.7</v>
      </c>
      <c r="P62" s="13">
        <v>6.4</v>
      </c>
      <c r="Q62" s="13">
        <v>12.7</v>
      </c>
      <c r="R62" s="13">
        <v>7</v>
      </c>
      <c r="S62" s="36">
        <f t="shared" si="3"/>
        <v>294.2</v>
      </c>
      <c r="T62" s="36" t="s">
        <v>88</v>
      </c>
      <c r="U62" s="13">
        <v>36</v>
      </c>
      <c r="V62" s="13">
        <v>380</v>
      </c>
    </row>
    <row r="63" spans="1:22" ht="12.75" customHeight="1" x14ac:dyDescent="0.3">
      <c r="A63" s="2"/>
      <c r="B63" s="23" t="str">
        <f t="shared" si="2"/>
        <v>WNRF 600# ANSI B16.5 Size 24"</v>
      </c>
      <c r="C63" s="9" t="s">
        <v>39</v>
      </c>
      <c r="D63" s="37" t="s">
        <v>92</v>
      </c>
      <c r="E63" s="9" t="s">
        <v>40</v>
      </c>
      <c r="F63" s="27" t="s">
        <v>85</v>
      </c>
      <c r="G63" s="11">
        <v>600</v>
      </c>
      <c r="H63" s="13">
        <v>939.8</v>
      </c>
      <c r="I63" s="13">
        <v>209.6</v>
      </c>
      <c r="J63" s="13">
        <v>108</v>
      </c>
      <c r="K63" s="10">
        <v>692.2</v>
      </c>
      <c r="L63" s="13">
        <v>838.2</v>
      </c>
      <c r="M63" s="32">
        <v>24</v>
      </c>
      <c r="N63" s="13">
        <v>50.8</v>
      </c>
      <c r="O63" s="13">
        <v>717.6</v>
      </c>
      <c r="P63" s="13">
        <v>6.4</v>
      </c>
      <c r="Q63" s="13">
        <v>12.7</v>
      </c>
      <c r="R63" s="13">
        <v>7</v>
      </c>
      <c r="S63" s="36">
        <f t="shared" si="3"/>
        <v>315</v>
      </c>
      <c r="T63" s="36" t="s">
        <v>89</v>
      </c>
      <c r="U63" s="13">
        <v>38</v>
      </c>
      <c r="V63" s="13">
        <v>444</v>
      </c>
    </row>
    <row r="64" spans="1:22" ht="12.75" customHeight="1" x14ac:dyDescent="0.3">
      <c r="A64" s="2"/>
      <c r="B64" s="23" t="str">
        <f t="shared" si="2"/>
        <v>WNRF 600# ANSI B16.5 Size 26"</v>
      </c>
      <c r="C64" s="9" t="s">
        <v>39</v>
      </c>
      <c r="D64" s="37" t="s">
        <v>92</v>
      </c>
      <c r="E64" s="9" t="s">
        <v>40</v>
      </c>
      <c r="F64" s="27" t="s">
        <v>41</v>
      </c>
      <c r="G64" s="11">
        <v>650</v>
      </c>
      <c r="H64" s="13">
        <v>1016</v>
      </c>
      <c r="I64" s="13">
        <v>228.6</v>
      </c>
      <c r="J64" s="13">
        <v>114.3</v>
      </c>
      <c r="K64" s="10">
        <v>749.3</v>
      </c>
      <c r="L64" s="13">
        <v>914.4</v>
      </c>
      <c r="M64" s="32">
        <v>28</v>
      </c>
      <c r="N64" s="13">
        <v>50.8</v>
      </c>
      <c r="O64" s="13">
        <v>747.7</v>
      </c>
      <c r="P64" s="13">
        <v>6.4</v>
      </c>
      <c r="Q64" s="13">
        <v>12.7</v>
      </c>
      <c r="R64" s="13">
        <v>8</v>
      </c>
      <c r="S64" s="36">
        <f t="shared" si="3"/>
        <v>328.6</v>
      </c>
      <c r="T64" s="36" t="s">
        <v>89</v>
      </c>
      <c r="U64" s="13">
        <v>38</v>
      </c>
      <c r="V64" s="13">
        <v>487</v>
      </c>
    </row>
    <row r="65" spans="1:22" ht="12.75" customHeight="1" x14ac:dyDescent="0.3">
      <c r="A65" s="2"/>
      <c r="B65" s="23" t="str">
        <f t="shared" si="2"/>
        <v>WNRF 600# ANSI B16.5 Size 30"</v>
      </c>
      <c r="C65" s="9" t="s">
        <v>39</v>
      </c>
      <c r="D65" s="37" t="s">
        <v>92</v>
      </c>
      <c r="E65" s="9" t="s">
        <v>40</v>
      </c>
      <c r="F65" s="27" t="s">
        <v>45</v>
      </c>
      <c r="G65" s="11">
        <v>750</v>
      </c>
      <c r="H65" s="13">
        <v>1130.3</v>
      </c>
      <c r="I65" s="13">
        <v>254</v>
      </c>
      <c r="J65" s="13">
        <v>120.7</v>
      </c>
      <c r="K65" s="10">
        <v>857.2</v>
      </c>
      <c r="L65" s="13">
        <v>1022.3</v>
      </c>
      <c r="M65" s="32">
        <v>28</v>
      </c>
      <c r="N65" s="13">
        <v>54</v>
      </c>
      <c r="O65" s="13">
        <v>862</v>
      </c>
      <c r="P65" s="13">
        <v>6.4</v>
      </c>
      <c r="Q65" s="13">
        <v>12.7</v>
      </c>
      <c r="R65" s="13">
        <v>9</v>
      </c>
      <c r="S65" s="36">
        <f t="shared" si="3"/>
        <v>350.4</v>
      </c>
      <c r="T65" s="36" t="s">
        <v>90</v>
      </c>
      <c r="U65" s="13">
        <v>42</v>
      </c>
      <c r="V65" s="13">
        <v>559</v>
      </c>
    </row>
    <row r="66" spans="1:22" ht="12.75" customHeight="1" x14ac:dyDescent="0.3">
      <c r="A66" s="2"/>
      <c r="B66" s="23" t="str">
        <f t="shared" si="2"/>
        <v>WNRF 600# ANSI B16.5 Size 34"</v>
      </c>
      <c r="C66" s="9" t="s">
        <v>39</v>
      </c>
      <c r="D66" s="37" t="s">
        <v>92</v>
      </c>
      <c r="E66" s="9" t="s">
        <v>40</v>
      </c>
      <c r="F66" s="27" t="s">
        <v>48</v>
      </c>
      <c r="G66" s="11">
        <v>850</v>
      </c>
      <c r="H66" s="13">
        <v>1244.5999999999999</v>
      </c>
      <c r="I66" s="13">
        <v>276.3</v>
      </c>
      <c r="J66" s="13">
        <v>127</v>
      </c>
      <c r="K66" s="10">
        <v>965.2</v>
      </c>
      <c r="L66" s="13">
        <v>1130.3</v>
      </c>
      <c r="M66" s="32">
        <v>28</v>
      </c>
      <c r="N66" s="13">
        <v>60.3</v>
      </c>
      <c r="O66" s="13">
        <v>973.1</v>
      </c>
      <c r="P66" s="13">
        <v>6.4</v>
      </c>
      <c r="Q66" s="13">
        <v>12.7</v>
      </c>
      <c r="R66" s="13">
        <v>10</v>
      </c>
      <c r="S66" s="36">
        <f t="shared" si="3"/>
        <v>370</v>
      </c>
      <c r="T66" s="36" t="s">
        <v>93</v>
      </c>
      <c r="U66" s="13">
        <v>45</v>
      </c>
      <c r="V66" s="13">
        <v>689</v>
      </c>
    </row>
    <row r="67" spans="1:22" ht="12.75" customHeight="1" x14ac:dyDescent="0.3">
      <c r="A67" s="2"/>
      <c r="B67" s="23" t="str">
        <f t="shared" si="2"/>
        <v>WNRF 600# ANSI B16.5 Size 36"</v>
      </c>
      <c r="C67" s="9" t="s">
        <v>39</v>
      </c>
      <c r="D67" s="37" t="s">
        <v>92</v>
      </c>
      <c r="E67" s="9" t="s">
        <v>40</v>
      </c>
      <c r="F67" s="27" t="s">
        <v>49</v>
      </c>
      <c r="G67" s="11">
        <v>900</v>
      </c>
      <c r="H67" s="13">
        <v>1314.4</v>
      </c>
      <c r="I67" s="13">
        <v>289</v>
      </c>
      <c r="J67" s="13">
        <v>130.19999999999999</v>
      </c>
      <c r="K67" s="10">
        <v>1022.3</v>
      </c>
      <c r="L67" s="13">
        <v>1193.8</v>
      </c>
      <c r="M67" s="32">
        <v>28</v>
      </c>
      <c r="N67" s="13">
        <v>66.7</v>
      </c>
      <c r="O67" s="13">
        <v>1031.9000000000001</v>
      </c>
      <c r="P67" s="13">
        <v>6.4</v>
      </c>
      <c r="Q67" s="13">
        <v>12.7</v>
      </c>
      <c r="R67" s="13">
        <v>11</v>
      </c>
      <c r="S67" s="36">
        <f t="shared" si="3"/>
        <v>389.4</v>
      </c>
      <c r="T67" s="36" t="s">
        <v>94</v>
      </c>
      <c r="U67" s="13">
        <v>51</v>
      </c>
      <c r="V67" s="13">
        <v>780</v>
      </c>
    </row>
    <row r="68" spans="1:22" ht="12.75" customHeight="1" x14ac:dyDescent="0.3">
      <c r="A68" s="2"/>
      <c r="B68" s="23" t="str">
        <f t="shared" si="2"/>
        <v>WNRF 600# ANSI B16.5 Size 42"</v>
      </c>
      <c r="C68" s="9" t="s">
        <v>39</v>
      </c>
      <c r="D68" s="37" t="s">
        <v>92</v>
      </c>
      <c r="E68" s="9" t="s">
        <v>40</v>
      </c>
      <c r="F68" s="27" t="s">
        <v>52</v>
      </c>
      <c r="G68" s="11">
        <v>1050</v>
      </c>
      <c r="H68" s="13">
        <v>1492.2</v>
      </c>
      <c r="I68" s="13">
        <v>330.2</v>
      </c>
      <c r="J68" s="13">
        <v>146.1</v>
      </c>
      <c r="K68" s="10">
        <v>1193.8</v>
      </c>
      <c r="L68" s="13">
        <v>1365.2</v>
      </c>
      <c r="M68" s="32">
        <v>28</v>
      </c>
      <c r="N68" s="13">
        <v>73</v>
      </c>
      <c r="O68" s="13">
        <v>1201.7</v>
      </c>
      <c r="P68" s="13">
        <v>6.4</v>
      </c>
      <c r="Q68" s="13">
        <v>12.7</v>
      </c>
      <c r="R68" s="13">
        <v>12</v>
      </c>
      <c r="S68" s="36">
        <f t="shared" si="3"/>
        <v>430.2</v>
      </c>
      <c r="T68" s="36" t="s">
        <v>95</v>
      </c>
      <c r="U68" s="13">
        <v>55</v>
      </c>
      <c r="V68" s="13">
        <v>1096</v>
      </c>
    </row>
    <row r="69" spans="1:22" ht="12.75" customHeight="1" x14ac:dyDescent="0.3">
      <c r="A69" s="2"/>
      <c r="B69" s="22" t="str">
        <f t="shared" si="2"/>
        <v>WNRF 900# ANSI B16.5 Size 1/2"</v>
      </c>
      <c r="C69" s="9" t="s">
        <v>39</v>
      </c>
      <c r="D69" s="37" t="s">
        <v>96</v>
      </c>
      <c r="E69" s="9" t="s">
        <v>40</v>
      </c>
      <c r="F69" s="27" t="s">
        <v>62</v>
      </c>
      <c r="G69" s="11">
        <v>15</v>
      </c>
      <c r="H69" s="13">
        <v>120.6</v>
      </c>
      <c r="I69" s="13">
        <v>66.8</v>
      </c>
      <c r="J69" s="13">
        <v>28.7</v>
      </c>
      <c r="K69" s="13">
        <v>35</v>
      </c>
      <c r="L69" s="13">
        <v>82.5</v>
      </c>
      <c r="M69" s="32">
        <v>4</v>
      </c>
      <c r="N69" s="13">
        <v>22.3</v>
      </c>
      <c r="O69" s="13">
        <v>38.1</v>
      </c>
      <c r="P69" s="13">
        <v>6.4</v>
      </c>
      <c r="Q69" s="13">
        <v>3</v>
      </c>
      <c r="R69" s="13">
        <v>3</v>
      </c>
      <c r="S69" s="36">
        <f t="shared" si="3"/>
        <v>108.4</v>
      </c>
      <c r="T69" s="37" t="s">
        <v>72</v>
      </c>
      <c r="U69" s="13">
        <v>16</v>
      </c>
      <c r="V69" s="13">
        <v>1.87</v>
      </c>
    </row>
    <row r="70" spans="1:22" ht="12.75" customHeight="1" x14ac:dyDescent="0.3">
      <c r="A70" s="2"/>
      <c r="B70" s="23" t="str">
        <f t="shared" si="2"/>
        <v>WNRF 900# ANSI B16.5 Size 3/4"</v>
      </c>
      <c r="C70" s="9" t="s">
        <v>39</v>
      </c>
      <c r="D70" s="37" t="s">
        <v>96</v>
      </c>
      <c r="E70" s="9" t="s">
        <v>40</v>
      </c>
      <c r="F70" s="27" t="s">
        <v>64</v>
      </c>
      <c r="G70" s="11">
        <v>20</v>
      </c>
      <c r="H70" s="13">
        <v>130</v>
      </c>
      <c r="I70" s="13">
        <v>76.2</v>
      </c>
      <c r="J70" s="13">
        <v>31.8</v>
      </c>
      <c r="K70" s="10">
        <v>42.9</v>
      </c>
      <c r="L70" s="13">
        <v>88.9</v>
      </c>
      <c r="M70" s="32">
        <v>4</v>
      </c>
      <c r="N70" s="13">
        <v>22.3</v>
      </c>
      <c r="O70" s="13">
        <v>44.4</v>
      </c>
      <c r="P70" s="13">
        <v>6.4</v>
      </c>
      <c r="Q70" s="13">
        <v>3</v>
      </c>
      <c r="R70" s="13">
        <v>3</v>
      </c>
      <c r="S70" s="36">
        <f t="shared" si="3"/>
        <v>114.6</v>
      </c>
      <c r="T70" s="36" t="s">
        <v>72</v>
      </c>
      <c r="U70" s="13">
        <v>16</v>
      </c>
      <c r="V70" s="13">
        <v>2.56</v>
      </c>
    </row>
    <row r="71" spans="1:22" ht="12.75" customHeight="1" x14ac:dyDescent="0.3">
      <c r="A71" s="2"/>
      <c r="B71" s="23" t="str">
        <f t="shared" si="2"/>
        <v>WNRF 900# ANSI B16.5 Size 1"</v>
      </c>
      <c r="C71" s="9" t="s">
        <v>39</v>
      </c>
      <c r="D71" s="37" t="s">
        <v>96</v>
      </c>
      <c r="E71" s="9" t="s">
        <v>40</v>
      </c>
      <c r="F71" s="27" t="s">
        <v>65</v>
      </c>
      <c r="G71" s="11">
        <v>25</v>
      </c>
      <c r="H71" s="13">
        <v>149.30000000000001</v>
      </c>
      <c r="I71" s="13">
        <v>79.5</v>
      </c>
      <c r="J71" s="13">
        <v>34.799999999999997</v>
      </c>
      <c r="K71" s="10">
        <v>50.8</v>
      </c>
      <c r="L71" s="13">
        <v>101.6</v>
      </c>
      <c r="M71" s="32">
        <v>4</v>
      </c>
      <c r="N71" s="13">
        <v>25.4</v>
      </c>
      <c r="O71" s="13">
        <v>52.3</v>
      </c>
      <c r="P71" s="13">
        <v>6.4</v>
      </c>
      <c r="Q71" s="13">
        <v>3</v>
      </c>
      <c r="R71" s="13">
        <v>3</v>
      </c>
      <c r="S71" s="36">
        <f t="shared" si="3"/>
        <v>126.6</v>
      </c>
      <c r="T71" s="36" t="s">
        <v>76</v>
      </c>
      <c r="U71" s="13">
        <v>19</v>
      </c>
      <c r="V71" s="13">
        <v>3.74</v>
      </c>
    </row>
    <row r="72" spans="1:22" ht="12.75" customHeight="1" x14ac:dyDescent="0.3">
      <c r="A72" s="2"/>
      <c r="B72" s="23" t="str">
        <f t="shared" si="2"/>
        <v>WNRF 900# ANSI B16.5 Size 1½"</v>
      </c>
      <c r="C72" s="9" t="s">
        <v>39</v>
      </c>
      <c r="D72" s="37" t="s">
        <v>96</v>
      </c>
      <c r="E72" s="9" t="s">
        <v>40</v>
      </c>
      <c r="F72" s="27" t="s">
        <v>66</v>
      </c>
      <c r="G72" s="11">
        <v>40</v>
      </c>
      <c r="H72" s="13">
        <v>177.8</v>
      </c>
      <c r="I72" s="13">
        <v>88.9</v>
      </c>
      <c r="J72" s="13">
        <v>38.1</v>
      </c>
      <c r="K72" s="10">
        <v>73.099999999999994</v>
      </c>
      <c r="L72" s="13">
        <v>123.9</v>
      </c>
      <c r="M72" s="32">
        <v>4</v>
      </c>
      <c r="N72" s="13">
        <v>28.4</v>
      </c>
      <c r="O72" s="13">
        <v>69.8</v>
      </c>
      <c r="P72" s="13">
        <v>6.4</v>
      </c>
      <c r="Q72" s="13">
        <v>6.35</v>
      </c>
      <c r="R72" s="13">
        <v>3</v>
      </c>
      <c r="S72" s="36">
        <f t="shared" si="3"/>
        <v>139.19999999999999</v>
      </c>
      <c r="T72" s="37" t="s">
        <v>79</v>
      </c>
      <c r="U72" s="13">
        <v>22</v>
      </c>
      <c r="V72" s="13">
        <v>5.94</v>
      </c>
    </row>
    <row r="73" spans="1:22" ht="12.75" customHeight="1" x14ac:dyDescent="0.3">
      <c r="A73" s="2"/>
      <c r="B73" s="23" t="str">
        <f t="shared" si="2"/>
        <v>WNRF 900# ANSI B16.5 Size 2"</v>
      </c>
      <c r="C73" s="9" t="s">
        <v>39</v>
      </c>
      <c r="D73" s="37" t="s">
        <v>96</v>
      </c>
      <c r="E73" s="9" t="s">
        <v>40</v>
      </c>
      <c r="F73" s="27" t="s">
        <v>67</v>
      </c>
      <c r="G73" s="11">
        <v>50</v>
      </c>
      <c r="H73" s="13">
        <v>215.9</v>
      </c>
      <c r="I73" s="13">
        <v>108</v>
      </c>
      <c r="J73" s="13">
        <v>44.5</v>
      </c>
      <c r="K73" s="10">
        <v>91.9</v>
      </c>
      <c r="L73" s="13">
        <v>165.1</v>
      </c>
      <c r="M73" s="32">
        <v>8</v>
      </c>
      <c r="N73" s="13">
        <v>25.4</v>
      </c>
      <c r="O73" s="13">
        <v>104.6</v>
      </c>
      <c r="P73" s="13">
        <v>6.4</v>
      </c>
      <c r="Q73" s="13">
        <v>7.87</v>
      </c>
      <c r="R73" s="13">
        <v>4</v>
      </c>
      <c r="S73" s="36">
        <f t="shared" si="3"/>
        <v>147</v>
      </c>
      <c r="T73" s="36" t="s">
        <v>76</v>
      </c>
      <c r="U73" s="13">
        <v>19</v>
      </c>
      <c r="V73" s="13">
        <v>10.8</v>
      </c>
    </row>
    <row r="74" spans="1:22" ht="12.75" customHeight="1" x14ac:dyDescent="0.3">
      <c r="A74" s="2"/>
      <c r="B74" s="23" t="str">
        <f t="shared" si="2"/>
        <v>WNRF 900# ANSI B16.5 Size 3"</v>
      </c>
      <c r="C74" s="9" t="s">
        <v>39</v>
      </c>
      <c r="D74" s="37" t="s">
        <v>96</v>
      </c>
      <c r="E74" s="9" t="s">
        <v>40</v>
      </c>
      <c r="F74" s="27" t="s">
        <v>69</v>
      </c>
      <c r="G74" s="11">
        <v>80</v>
      </c>
      <c r="H74" s="13">
        <v>241.3</v>
      </c>
      <c r="I74" s="13">
        <v>108</v>
      </c>
      <c r="J74" s="13">
        <v>44.5</v>
      </c>
      <c r="K74" s="13">
        <v>127</v>
      </c>
      <c r="L74" s="13">
        <v>190.5</v>
      </c>
      <c r="M74" s="32">
        <v>8</v>
      </c>
      <c r="N74" s="13">
        <v>25.4</v>
      </c>
      <c r="O74" s="13">
        <v>127</v>
      </c>
      <c r="P74" s="13">
        <v>6.4</v>
      </c>
      <c r="Q74" s="13">
        <v>9.65</v>
      </c>
      <c r="R74" s="13">
        <v>4</v>
      </c>
      <c r="S74" s="36">
        <f t="shared" si="3"/>
        <v>141</v>
      </c>
      <c r="T74" s="36" t="s">
        <v>72</v>
      </c>
      <c r="U74" s="13">
        <v>16</v>
      </c>
      <c r="V74" s="13">
        <v>13.7</v>
      </c>
    </row>
    <row r="75" spans="1:22" ht="12.75" customHeight="1" x14ac:dyDescent="0.3">
      <c r="A75" s="2"/>
      <c r="B75" s="23" t="str">
        <f t="shared" si="2"/>
        <v>WNRF 900# ANSI B16.5 Size 4"</v>
      </c>
      <c r="C75" s="9" t="s">
        <v>39</v>
      </c>
      <c r="D75" s="37" t="s">
        <v>96</v>
      </c>
      <c r="E75" s="9" t="s">
        <v>40</v>
      </c>
      <c r="F75" s="27" t="s">
        <v>70</v>
      </c>
      <c r="G75" s="11">
        <v>100</v>
      </c>
      <c r="H75" s="13">
        <v>292.10000000000002</v>
      </c>
      <c r="I75" s="13">
        <v>120.7</v>
      </c>
      <c r="J75" s="13">
        <v>50.8</v>
      </c>
      <c r="K75" s="10">
        <v>157.19999999999999</v>
      </c>
      <c r="L75" s="13">
        <v>234.9</v>
      </c>
      <c r="M75" s="32">
        <v>8</v>
      </c>
      <c r="N75" s="13">
        <v>31.7</v>
      </c>
      <c r="O75" s="13">
        <v>158.69999999999999</v>
      </c>
      <c r="P75" s="13">
        <v>6.4</v>
      </c>
      <c r="Q75" s="13">
        <v>11.18</v>
      </c>
      <c r="R75" s="13">
        <v>5</v>
      </c>
      <c r="S75" s="36">
        <f t="shared" si="3"/>
        <v>166.6</v>
      </c>
      <c r="T75" s="36" t="s">
        <v>79</v>
      </c>
      <c r="U75" s="13">
        <v>22</v>
      </c>
      <c r="V75" s="13">
        <v>22.5</v>
      </c>
    </row>
    <row r="76" spans="1:22" ht="12.75" customHeight="1" x14ac:dyDescent="0.3">
      <c r="A76" s="2"/>
      <c r="B76" s="23" t="str">
        <f t="shared" si="2"/>
        <v>WNRF 900# ANSI B16.5 Size 6"</v>
      </c>
      <c r="C76" s="9" t="s">
        <v>39</v>
      </c>
      <c r="D76" s="37" t="s">
        <v>96</v>
      </c>
      <c r="E76" s="9" t="s">
        <v>40</v>
      </c>
      <c r="F76" s="27" t="s">
        <v>73</v>
      </c>
      <c r="G76" s="11">
        <v>150</v>
      </c>
      <c r="H76" s="13">
        <v>381</v>
      </c>
      <c r="I76" s="13">
        <v>146.1</v>
      </c>
      <c r="J76" s="13">
        <v>62</v>
      </c>
      <c r="K76" s="10">
        <v>215.9</v>
      </c>
      <c r="L76" s="13">
        <v>317.5</v>
      </c>
      <c r="M76" s="32">
        <v>12</v>
      </c>
      <c r="N76" s="13">
        <v>31.7</v>
      </c>
      <c r="O76" s="13">
        <v>234.9</v>
      </c>
      <c r="P76" s="13">
        <v>6.4</v>
      </c>
      <c r="Q76" s="13">
        <v>12.7</v>
      </c>
      <c r="R76" s="13">
        <v>6</v>
      </c>
      <c r="S76" s="36">
        <f t="shared" si="3"/>
        <v>190</v>
      </c>
      <c r="T76" s="36" t="s">
        <v>79</v>
      </c>
      <c r="U76" s="13">
        <v>22</v>
      </c>
      <c r="V76" s="13">
        <v>47.7</v>
      </c>
    </row>
    <row r="77" spans="1:22" ht="12.75" customHeight="1" x14ac:dyDescent="0.3">
      <c r="A77" s="2"/>
      <c r="B77" s="23" t="str">
        <f t="shared" si="2"/>
        <v>WNRF 900# ANSI B16.5 Size 8"</v>
      </c>
      <c r="C77" s="9" t="s">
        <v>39</v>
      </c>
      <c r="D77" s="37" t="s">
        <v>96</v>
      </c>
      <c r="E77" s="9" t="s">
        <v>40</v>
      </c>
      <c r="F77" s="27" t="s">
        <v>74</v>
      </c>
      <c r="G77" s="11">
        <v>200</v>
      </c>
      <c r="H77" s="13">
        <v>469.9</v>
      </c>
      <c r="I77" s="13">
        <v>168.4</v>
      </c>
      <c r="J77" s="13">
        <v>69.900000000000006</v>
      </c>
      <c r="K77" s="10">
        <v>269.7</v>
      </c>
      <c r="L77" s="13">
        <v>393.7</v>
      </c>
      <c r="M77" s="32">
        <v>12</v>
      </c>
      <c r="N77" s="13">
        <v>38.1</v>
      </c>
      <c r="O77" s="13">
        <v>298.39999999999998</v>
      </c>
      <c r="P77" s="13">
        <v>6.4</v>
      </c>
      <c r="Q77" s="13">
        <v>12.7</v>
      </c>
      <c r="R77" s="13">
        <v>6</v>
      </c>
      <c r="S77" s="36">
        <f t="shared" si="3"/>
        <v>219.8</v>
      </c>
      <c r="T77" s="36" t="s">
        <v>47</v>
      </c>
      <c r="U77" s="13">
        <v>29</v>
      </c>
      <c r="V77" s="13">
        <v>81.3</v>
      </c>
    </row>
    <row r="78" spans="1:22" ht="12.75" customHeight="1" x14ac:dyDescent="0.3">
      <c r="A78" s="2"/>
      <c r="B78" s="23" t="str">
        <f t="shared" si="2"/>
        <v>WNRF 900# ANSI B16.5 Size 10"</v>
      </c>
      <c r="C78" s="9" t="s">
        <v>39</v>
      </c>
      <c r="D78" s="37" t="s">
        <v>96</v>
      </c>
      <c r="E78" s="9" t="s">
        <v>40</v>
      </c>
      <c r="F78" s="27" t="s">
        <v>75</v>
      </c>
      <c r="G78" s="11">
        <v>250</v>
      </c>
      <c r="H78" s="13">
        <v>546.1</v>
      </c>
      <c r="I78" s="13">
        <v>190.5</v>
      </c>
      <c r="J78" s="13">
        <v>76.2</v>
      </c>
      <c r="K78" s="10">
        <v>323.8</v>
      </c>
      <c r="L78" s="13">
        <v>169.9</v>
      </c>
      <c r="M78" s="32">
        <v>16</v>
      </c>
      <c r="N78" s="13">
        <v>38.1</v>
      </c>
      <c r="O78" s="13">
        <v>368.3</v>
      </c>
      <c r="P78" s="13">
        <v>6.4</v>
      </c>
      <c r="Q78" s="13">
        <v>12.7</v>
      </c>
      <c r="R78" s="13">
        <v>6</v>
      </c>
      <c r="S78" s="36">
        <f t="shared" si="3"/>
        <v>232.4</v>
      </c>
      <c r="T78" s="36" t="s">
        <v>47</v>
      </c>
      <c r="U78" s="13">
        <v>29</v>
      </c>
      <c r="V78" s="13">
        <v>119</v>
      </c>
    </row>
    <row r="79" spans="1:22" ht="12.75" customHeight="1" x14ac:dyDescent="0.3">
      <c r="A79" s="2"/>
      <c r="B79" s="23" t="str">
        <f t="shared" si="2"/>
        <v>WNRF 900# ANSI B16.5 Size 12"</v>
      </c>
      <c r="C79" s="9" t="s">
        <v>39</v>
      </c>
      <c r="D79" s="37" t="s">
        <v>96</v>
      </c>
      <c r="E79" s="9" t="s">
        <v>40</v>
      </c>
      <c r="F79" s="27" t="s">
        <v>77</v>
      </c>
      <c r="G79" s="11">
        <v>300</v>
      </c>
      <c r="H79" s="13">
        <v>609.6</v>
      </c>
      <c r="I79" s="13">
        <v>206.5</v>
      </c>
      <c r="J79" s="13">
        <v>85.6</v>
      </c>
      <c r="K79" s="13">
        <v>381</v>
      </c>
      <c r="L79" s="13">
        <v>533.4</v>
      </c>
      <c r="M79" s="32">
        <v>20</v>
      </c>
      <c r="N79" s="13">
        <v>38.1</v>
      </c>
      <c r="O79" s="13">
        <v>419.1</v>
      </c>
      <c r="P79" s="13">
        <v>6.4</v>
      </c>
      <c r="Q79" s="13">
        <v>12.7</v>
      </c>
      <c r="R79" s="13">
        <v>6</v>
      </c>
      <c r="S79" s="36">
        <f t="shared" si="3"/>
        <v>251.2</v>
      </c>
      <c r="T79" s="36" t="s">
        <v>47</v>
      </c>
      <c r="U79" s="13">
        <v>29</v>
      </c>
      <c r="V79" s="13">
        <v>157</v>
      </c>
    </row>
    <row r="80" spans="1:22" ht="12.75" customHeight="1" x14ac:dyDescent="0.3">
      <c r="A80" s="2"/>
      <c r="B80" s="23" t="str">
        <f t="shared" si="2"/>
        <v>WNRF 900# ANSI B16.5 Size 14"</v>
      </c>
      <c r="C80" s="9" t="s">
        <v>39</v>
      </c>
      <c r="D80" s="37" t="s">
        <v>96</v>
      </c>
      <c r="E80" s="9" t="s">
        <v>40</v>
      </c>
      <c r="F80" s="27" t="s">
        <v>78</v>
      </c>
      <c r="G80" s="11">
        <v>350</v>
      </c>
      <c r="H80" s="13">
        <v>641.29999999999995</v>
      </c>
      <c r="I80" s="13">
        <v>219.2</v>
      </c>
      <c r="J80" s="13">
        <v>92.2</v>
      </c>
      <c r="K80" s="10">
        <v>412.7</v>
      </c>
      <c r="L80" s="13">
        <v>558.79999999999995</v>
      </c>
      <c r="M80" s="32">
        <v>20</v>
      </c>
      <c r="N80" s="13">
        <v>41.1</v>
      </c>
      <c r="O80" s="13">
        <v>450.8</v>
      </c>
      <c r="P80" s="13">
        <v>6.4</v>
      </c>
      <c r="Q80" s="13">
        <v>12.7</v>
      </c>
      <c r="R80" s="13">
        <v>7</v>
      </c>
      <c r="S80" s="36">
        <f t="shared" si="3"/>
        <v>265.39999999999998</v>
      </c>
      <c r="T80" s="36" t="s">
        <v>57</v>
      </c>
      <c r="U80" s="13">
        <v>29</v>
      </c>
      <c r="V80" s="13">
        <v>180</v>
      </c>
    </row>
    <row r="81" spans="1:22" ht="12.75" customHeight="1" x14ac:dyDescent="0.3">
      <c r="A81" s="2"/>
      <c r="B81" s="23" t="str">
        <f t="shared" si="2"/>
        <v>WNRF 900# ANSI B16.5 Size 16"</v>
      </c>
      <c r="C81" s="9" t="s">
        <v>39</v>
      </c>
      <c r="D81" s="37" t="s">
        <v>96</v>
      </c>
      <c r="E81" s="9" t="s">
        <v>40</v>
      </c>
      <c r="F81" s="27" t="s">
        <v>80</v>
      </c>
      <c r="G81" s="11">
        <v>400</v>
      </c>
      <c r="H81" s="13">
        <v>704.8</v>
      </c>
      <c r="I81" s="13">
        <v>222.3</v>
      </c>
      <c r="J81" s="13">
        <v>95.3</v>
      </c>
      <c r="K81" s="10">
        <v>469.9</v>
      </c>
      <c r="L81" s="13">
        <v>615.9</v>
      </c>
      <c r="M81" s="32">
        <v>20</v>
      </c>
      <c r="N81" s="13">
        <v>44.4</v>
      </c>
      <c r="O81" s="13">
        <v>508</v>
      </c>
      <c r="P81" s="13">
        <v>6.4</v>
      </c>
      <c r="Q81" s="13">
        <v>12.7</v>
      </c>
      <c r="R81" s="13">
        <v>7</v>
      </c>
      <c r="S81" s="36">
        <f t="shared" si="3"/>
        <v>281.60000000000002</v>
      </c>
      <c r="T81" s="36" t="s">
        <v>87</v>
      </c>
      <c r="U81" s="13">
        <v>34</v>
      </c>
      <c r="V81" s="13">
        <v>217</v>
      </c>
    </row>
    <row r="82" spans="1:22" ht="12.75" customHeight="1" x14ac:dyDescent="0.3">
      <c r="A82" s="2"/>
      <c r="B82" s="23" t="str">
        <f t="shared" si="2"/>
        <v>WNRF 900# ANSI B16.5 Size 18"</v>
      </c>
      <c r="C82" s="9" t="s">
        <v>39</v>
      </c>
      <c r="D82" s="37" t="s">
        <v>96</v>
      </c>
      <c r="E82" s="9" t="s">
        <v>40</v>
      </c>
      <c r="F82" s="27" t="s">
        <v>81</v>
      </c>
      <c r="G82" s="11">
        <v>450</v>
      </c>
      <c r="H82" s="13">
        <v>787.4</v>
      </c>
      <c r="I82" s="13">
        <v>235</v>
      </c>
      <c r="J82" s="13">
        <v>108</v>
      </c>
      <c r="K82" s="10">
        <v>533.4</v>
      </c>
      <c r="L82" s="13">
        <v>685.8</v>
      </c>
      <c r="M82" s="32">
        <v>20</v>
      </c>
      <c r="N82" s="13">
        <v>50.8</v>
      </c>
      <c r="O82" s="13">
        <v>565.1</v>
      </c>
      <c r="P82" s="13">
        <v>6.4</v>
      </c>
      <c r="Q82" s="13">
        <v>12.7</v>
      </c>
      <c r="R82" s="13">
        <v>7</v>
      </c>
      <c r="S82" s="36">
        <f t="shared" si="3"/>
        <v>315</v>
      </c>
      <c r="T82" s="36" t="s">
        <v>89</v>
      </c>
      <c r="U82" s="13">
        <v>38</v>
      </c>
      <c r="V82" s="13">
        <v>292</v>
      </c>
    </row>
    <row r="83" spans="1:22" ht="12.75" customHeight="1" x14ac:dyDescent="0.3">
      <c r="A83" s="2"/>
      <c r="B83" s="23" t="str">
        <f t="shared" si="2"/>
        <v>WNRF 900# ANSI B16.5 Size 20"</v>
      </c>
      <c r="C83" s="9" t="s">
        <v>39</v>
      </c>
      <c r="D83" s="37" t="s">
        <v>96</v>
      </c>
      <c r="E83" s="9" t="s">
        <v>40</v>
      </c>
      <c r="F83" s="27" t="s">
        <v>83</v>
      </c>
      <c r="G83" s="11">
        <v>500</v>
      </c>
      <c r="H83" s="13">
        <v>857.2</v>
      </c>
      <c r="I83" s="13">
        <v>254</v>
      </c>
      <c r="J83" s="13">
        <v>114.3</v>
      </c>
      <c r="K83" s="10">
        <v>584.20000000000005</v>
      </c>
      <c r="L83" s="13">
        <v>749.3</v>
      </c>
      <c r="M83" s="32">
        <v>20</v>
      </c>
      <c r="N83" s="13">
        <v>53.8</v>
      </c>
      <c r="O83" s="13">
        <v>622.29999999999995</v>
      </c>
      <c r="P83" s="13">
        <v>6.4</v>
      </c>
      <c r="Q83" s="13">
        <v>12.7</v>
      </c>
      <c r="R83" s="13">
        <v>7</v>
      </c>
      <c r="S83" s="36">
        <f t="shared" si="3"/>
        <v>335.6</v>
      </c>
      <c r="T83" s="36" t="s">
        <v>90</v>
      </c>
      <c r="U83" s="13">
        <v>42</v>
      </c>
      <c r="V83" s="13">
        <v>362</v>
      </c>
    </row>
    <row r="84" spans="1:22" ht="12.75" customHeight="1" x14ac:dyDescent="0.3">
      <c r="A84" s="2"/>
      <c r="B84" s="23" t="str">
        <f t="shared" si="2"/>
        <v>WNRF 900# ANSI B16.5 Size 24"</v>
      </c>
      <c r="C84" s="9" t="s">
        <v>39</v>
      </c>
      <c r="D84" s="37" t="s">
        <v>96</v>
      </c>
      <c r="E84" s="9" t="s">
        <v>40</v>
      </c>
      <c r="F84" s="27" t="s">
        <v>85</v>
      </c>
      <c r="G84" s="11">
        <v>600</v>
      </c>
      <c r="H84" s="13">
        <v>1041.4000000000001</v>
      </c>
      <c r="I84" s="13">
        <v>298.5</v>
      </c>
      <c r="J84" s="13">
        <v>146.1</v>
      </c>
      <c r="K84" s="10">
        <v>692.1</v>
      </c>
      <c r="L84" s="13">
        <v>901.7</v>
      </c>
      <c r="M84" s="32">
        <v>20</v>
      </c>
      <c r="N84" s="13">
        <v>66.5</v>
      </c>
      <c r="O84" s="13">
        <v>749.3</v>
      </c>
      <c r="P84" s="13">
        <v>6.4</v>
      </c>
      <c r="Q84" s="13">
        <v>12.7</v>
      </c>
      <c r="R84" s="13">
        <v>7</v>
      </c>
      <c r="S84" s="36">
        <f t="shared" si="3"/>
        <v>417.2</v>
      </c>
      <c r="T84" s="36" t="s">
        <v>94</v>
      </c>
      <c r="U84" s="13">
        <v>51</v>
      </c>
      <c r="V84" s="13">
        <v>665</v>
      </c>
    </row>
    <row r="85" spans="1:22" ht="12.75" customHeight="1" x14ac:dyDescent="0.3">
      <c r="A85" s="2"/>
      <c r="B85" s="22" t="str">
        <f t="shared" si="2"/>
        <v>WNRF 1500# ANSI B16.5 Size 1/2"</v>
      </c>
      <c r="C85" s="9" t="s">
        <v>39</v>
      </c>
      <c r="D85" s="37" t="s">
        <v>97</v>
      </c>
      <c r="E85" s="9" t="s">
        <v>40</v>
      </c>
      <c r="F85" s="27" t="s">
        <v>62</v>
      </c>
      <c r="G85" s="11">
        <v>15</v>
      </c>
      <c r="H85" s="13">
        <v>120.6</v>
      </c>
      <c r="I85" s="13">
        <v>66.8</v>
      </c>
      <c r="J85" s="13">
        <v>28.7</v>
      </c>
      <c r="K85" s="13">
        <v>35</v>
      </c>
      <c r="L85" s="13">
        <v>82.5</v>
      </c>
      <c r="M85" s="32">
        <v>4</v>
      </c>
      <c r="N85" s="13">
        <v>22.3</v>
      </c>
      <c r="O85" s="13">
        <v>38.1</v>
      </c>
      <c r="P85" s="13">
        <v>6.4</v>
      </c>
      <c r="Q85" s="13">
        <v>3</v>
      </c>
      <c r="R85" s="13">
        <v>3</v>
      </c>
      <c r="S85" s="36">
        <f t="shared" si="3"/>
        <v>108.4</v>
      </c>
      <c r="T85" s="37" t="s">
        <v>72</v>
      </c>
      <c r="U85" s="13">
        <v>16</v>
      </c>
      <c r="V85" s="13">
        <v>1.87</v>
      </c>
    </row>
    <row r="86" spans="1:22" ht="12.75" customHeight="1" x14ac:dyDescent="0.3">
      <c r="A86" s="2"/>
      <c r="B86" s="23" t="str">
        <f t="shared" si="2"/>
        <v>WNRF 1500# ANSI B16.5 Size 3/4"</v>
      </c>
      <c r="C86" s="9" t="s">
        <v>39</v>
      </c>
      <c r="D86" s="37" t="s">
        <v>97</v>
      </c>
      <c r="E86" s="9" t="s">
        <v>40</v>
      </c>
      <c r="F86" s="27" t="s">
        <v>64</v>
      </c>
      <c r="G86" s="11">
        <v>20</v>
      </c>
      <c r="H86" s="13">
        <v>130</v>
      </c>
      <c r="I86" s="13">
        <v>76.2</v>
      </c>
      <c r="J86" s="13">
        <v>31.8</v>
      </c>
      <c r="K86" s="10">
        <v>42.9</v>
      </c>
      <c r="L86" s="13">
        <v>88.9</v>
      </c>
      <c r="M86" s="32">
        <v>4</v>
      </c>
      <c r="N86" s="13">
        <v>22.3</v>
      </c>
      <c r="O86" s="13">
        <v>44.4</v>
      </c>
      <c r="P86" s="13">
        <v>6.4</v>
      </c>
      <c r="Q86" s="13">
        <v>3</v>
      </c>
      <c r="R86" s="13">
        <v>3</v>
      </c>
      <c r="S86" s="36">
        <f t="shared" si="3"/>
        <v>114.6</v>
      </c>
      <c r="T86" s="36" t="s">
        <v>72</v>
      </c>
      <c r="U86" s="13">
        <v>16</v>
      </c>
      <c r="V86" s="13">
        <v>2.56</v>
      </c>
    </row>
    <row r="87" spans="1:22" ht="12.75" customHeight="1" x14ac:dyDescent="0.3">
      <c r="A87" s="2"/>
      <c r="B87" s="23" t="str">
        <f t="shared" si="2"/>
        <v>WNRF 1500# ANSI B16.5 Size 1"</v>
      </c>
      <c r="C87" s="9" t="s">
        <v>39</v>
      </c>
      <c r="D87" s="37" t="s">
        <v>97</v>
      </c>
      <c r="E87" s="9" t="s">
        <v>40</v>
      </c>
      <c r="F87" s="27" t="s">
        <v>65</v>
      </c>
      <c r="G87" s="11">
        <v>25</v>
      </c>
      <c r="H87" s="13">
        <v>149.30000000000001</v>
      </c>
      <c r="I87" s="13">
        <v>79.5</v>
      </c>
      <c r="J87" s="13">
        <v>34.799999999999997</v>
      </c>
      <c r="K87" s="10">
        <v>50.8</v>
      </c>
      <c r="L87" s="13">
        <v>101.6</v>
      </c>
      <c r="M87" s="32">
        <v>4</v>
      </c>
      <c r="N87" s="13">
        <v>25.4</v>
      </c>
      <c r="O87" s="13">
        <v>52.3</v>
      </c>
      <c r="P87" s="13">
        <v>6.4</v>
      </c>
      <c r="Q87" s="13">
        <v>3</v>
      </c>
      <c r="R87" s="13">
        <v>3</v>
      </c>
      <c r="S87" s="36">
        <f t="shared" si="3"/>
        <v>126.6</v>
      </c>
      <c r="T87" s="36" t="s">
        <v>76</v>
      </c>
      <c r="U87" s="13">
        <v>19</v>
      </c>
      <c r="V87" s="13">
        <v>3.74</v>
      </c>
    </row>
    <row r="88" spans="1:22" ht="12.75" customHeight="1" x14ac:dyDescent="0.3">
      <c r="A88" s="2"/>
      <c r="B88" s="23" t="str">
        <f t="shared" si="2"/>
        <v>WNRF 1500# ANSI B16.5 Size 1½"</v>
      </c>
      <c r="C88" s="9" t="s">
        <v>39</v>
      </c>
      <c r="D88" s="37" t="s">
        <v>97</v>
      </c>
      <c r="E88" s="9" t="s">
        <v>40</v>
      </c>
      <c r="F88" s="27" t="s">
        <v>66</v>
      </c>
      <c r="G88" s="11">
        <v>40</v>
      </c>
      <c r="H88" s="13">
        <v>177.8</v>
      </c>
      <c r="I88" s="13">
        <v>88.9</v>
      </c>
      <c r="J88" s="13">
        <v>38.1</v>
      </c>
      <c r="K88" s="10">
        <v>73.099999999999994</v>
      </c>
      <c r="L88" s="13">
        <v>123.9</v>
      </c>
      <c r="M88" s="32">
        <v>4</v>
      </c>
      <c r="N88" s="13">
        <v>28.4</v>
      </c>
      <c r="O88" s="13">
        <v>69.8</v>
      </c>
      <c r="P88" s="13">
        <v>6.4</v>
      </c>
      <c r="Q88" s="13">
        <v>6.35</v>
      </c>
      <c r="R88" s="13">
        <v>3</v>
      </c>
      <c r="S88" s="36">
        <f t="shared" si="3"/>
        <v>139.19999999999999</v>
      </c>
      <c r="T88" s="37" t="s">
        <v>79</v>
      </c>
      <c r="U88" s="13">
        <v>22</v>
      </c>
      <c r="V88" s="13">
        <v>5.94</v>
      </c>
    </row>
    <row r="89" spans="1:22" ht="12.75" customHeight="1" x14ac:dyDescent="0.3">
      <c r="A89" s="2"/>
      <c r="B89" s="23" t="str">
        <f t="shared" si="2"/>
        <v>WNRF 1500# ANSI B16.5 Size 2"</v>
      </c>
      <c r="C89" s="9" t="s">
        <v>39</v>
      </c>
      <c r="D89" s="37" t="s">
        <v>97</v>
      </c>
      <c r="E89" s="9" t="s">
        <v>40</v>
      </c>
      <c r="F89" s="27" t="s">
        <v>67</v>
      </c>
      <c r="G89" s="11">
        <v>50</v>
      </c>
      <c r="H89" s="13">
        <v>215.9</v>
      </c>
      <c r="I89" s="13">
        <v>108</v>
      </c>
      <c r="J89" s="13">
        <v>44.5</v>
      </c>
      <c r="K89" s="10">
        <v>91.9</v>
      </c>
      <c r="L89" s="13">
        <v>165.1</v>
      </c>
      <c r="M89" s="32">
        <v>8</v>
      </c>
      <c r="N89" s="13">
        <v>25.4</v>
      </c>
      <c r="O89" s="13">
        <v>104.6</v>
      </c>
      <c r="P89" s="13">
        <v>6.4</v>
      </c>
      <c r="Q89" s="13">
        <v>7.87</v>
      </c>
      <c r="R89" s="13">
        <v>4</v>
      </c>
      <c r="S89" s="36">
        <f t="shared" si="3"/>
        <v>147</v>
      </c>
      <c r="T89" s="36" t="s">
        <v>76</v>
      </c>
      <c r="U89" s="13">
        <v>19</v>
      </c>
      <c r="V89" s="13">
        <v>10.8</v>
      </c>
    </row>
    <row r="90" spans="1:22" ht="12.75" customHeight="1" x14ac:dyDescent="0.3">
      <c r="A90" s="2"/>
      <c r="B90" s="23" t="str">
        <f t="shared" si="2"/>
        <v>WNRF 1500# ANSI B16.5 Size 3"</v>
      </c>
      <c r="C90" s="9" t="s">
        <v>39</v>
      </c>
      <c r="D90" s="37" t="s">
        <v>97</v>
      </c>
      <c r="E90" s="9" t="s">
        <v>40</v>
      </c>
      <c r="F90" s="27" t="s">
        <v>69</v>
      </c>
      <c r="G90" s="11">
        <v>80</v>
      </c>
      <c r="H90" s="13">
        <v>266.7</v>
      </c>
      <c r="I90" s="13">
        <v>123.7</v>
      </c>
      <c r="J90" s="13">
        <v>54.1</v>
      </c>
      <c r="K90" s="13">
        <v>127</v>
      </c>
      <c r="L90" s="13">
        <v>203.2</v>
      </c>
      <c r="M90" s="32">
        <v>8</v>
      </c>
      <c r="N90" s="13">
        <v>31.7</v>
      </c>
      <c r="O90" s="13">
        <v>133.30000000000001</v>
      </c>
      <c r="P90" s="13">
        <v>6.4</v>
      </c>
      <c r="Q90" s="13">
        <v>9.65</v>
      </c>
      <c r="R90" s="13">
        <v>4</v>
      </c>
      <c r="S90" s="36">
        <f t="shared" si="3"/>
        <v>176.2</v>
      </c>
      <c r="T90" s="36" t="s">
        <v>82</v>
      </c>
      <c r="U90" s="13">
        <v>24</v>
      </c>
      <c r="V90" s="13">
        <v>19.899999999999999</v>
      </c>
    </row>
    <row r="91" spans="1:22" ht="12.75" customHeight="1" x14ac:dyDescent="0.3">
      <c r="A91" s="2"/>
      <c r="B91" s="23" t="str">
        <f t="shared" si="2"/>
        <v>WNRF 1500# ANSI B16.5 Size 4"</v>
      </c>
      <c r="C91" s="9" t="s">
        <v>39</v>
      </c>
      <c r="D91" s="37" t="s">
        <v>97</v>
      </c>
      <c r="E91" s="9" t="s">
        <v>40</v>
      </c>
      <c r="F91" s="27" t="s">
        <v>70</v>
      </c>
      <c r="G91" s="11">
        <v>100</v>
      </c>
      <c r="H91" s="13">
        <v>311.10000000000002</v>
      </c>
      <c r="I91" s="13">
        <v>130.30000000000001</v>
      </c>
      <c r="J91" s="13">
        <v>60.2</v>
      </c>
      <c r="K91" s="10">
        <v>157.19999999999999</v>
      </c>
      <c r="L91" s="13">
        <v>241.3</v>
      </c>
      <c r="M91" s="32">
        <v>8</v>
      </c>
      <c r="N91" s="13">
        <v>35</v>
      </c>
      <c r="O91" s="13">
        <v>162</v>
      </c>
      <c r="P91" s="13">
        <v>6.4</v>
      </c>
      <c r="Q91" s="13">
        <v>11.18</v>
      </c>
      <c r="R91" s="13">
        <v>5</v>
      </c>
      <c r="S91" s="36">
        <f t="shared" si="3"/>
        <v>193.4</v>
      </c>
      <c r="T91" s="36" t="s">
        <v>43</v>
      </c>
      <c r="U91" s="13">
        <v>26</v>
      </c>
      <c r="V91" s="13">
        <v>29.9</v>
      </c>
    </row>
    <row r="92" spans="1:22" ht="12.75" customHeight="1" x14ac:dyDescent="0.3">
      <c r="A92" s="2"/>
      <c r="B92" s="23" t="str">
        <f t="shared" si="2"/>
        <v>WNRF 1500# ANSI B16.5 Size 6"</v>
      </c>
      <c r="C92" s="9" t="s">
        <v>39</v>
      </c>
      <c r="D92" s="37" t="s">
        <v>97</v>
      </c>
      <c r="E92" s="9" t="s">
        <v>40</v>
      </c>
      <c r="F92" s="27" t="s">
        <v>73</v>
      </c>
      <c r="G92" s="11">
        <v>150</v>
      </c>
      <c r="H92" s="13">
        <v>393.7</v>
      </c>
      <c r="I92" s="13">
        <v>177.8</v>
      </c>
      <c r="J92" s="13">
        <v>86.9</v>
      </c>
      <c r="K92" s="10">
        <v>215.9</v>
      </c>
      <c r="L92" s="13">
        <v>317.5</v>
      </c>
      <c r="M92" s="32">
        <v>12</v>
      </c>
      <c r="N92" s="13">
        <v>38.1</v>
      </c>
      <c r="O92" s="13">
        <v>228.6</v>
      </c>
      <c r="P92" s="13">
        <v>6.4</v>
      </c>
      <c r="Q92" s="13">
        <v>12.7</v>
      </c>
      <c r="R92" s="13">
        <v>6</v>
      </c>
      <c r="S92" s="36">
        <f t="shared" si="3"/>
        <v>253.8</v>
      </c>
      <c r="T92" s="36" t="s">
        <v>47</v>
      </c>
      <c r="U92" s="13">
        <v>29</v>
      </c>
      <c r="V92" s="13">
        <v>68.400000000000006</v>
      </c>
    </row>
    <row r="93" spans="1:22" ht="12.75" customHeight="1" x14ac:dyDescent="0.3">
      <c r="A93" s="2"/>
      <c r="B93" s="23" t="str">
        <f t="shared" si="2"/>
        <v>WNRF 1500# ANSI B16.5 Size 8"</v>
      </c>
      <c r="C93" s="9" t="s">
        <v>39</v>
      </c>
      <c r="D93" s="37" t="s">
        <v>97</v>
      </c>
      <c r="E93" s="9" t="s">
        <v>40</v>
      </c>
      <c r="F93" s="27" t="s">
        <v>74</v>
      </c>
      <c r="G93" s="11">
        <v>200</v>
      </c>
      <c r="H93" s="13">
        <v>482.6</v>
      </c>
      <c r="I93" s="13">
        <v>219.2</v>
      </c>
      <c r="J93" s="13">
        <v>98.3</v>
      </c>
      <c r="K93" s="10">
        <v>269.7</v>
      </c>
      <c r="L93" s="13">
        <v>393.7</v>
      </c>
      <c r="M93" s="32">
        <v>12</v>
      </c>
      <c r="N93" s="13">
        <v>44.4</v>
      </c>
      <c r="O93" s="13">
        <v>292.10000000000002</v>
      </c>
      <c r="P93" s="13">
        <v>6.4</v>
      </c>
      <c r="Q93" s="13">
        <v>12.7</v>
      </c>
      <c r="R93" s="13">
        <v>6</v>
      </c>
      <c r="S93" s="36">
        <f t="shared" si="3"/>
        <v>286.60000000000002</v>
      </c>
      <c r="T93" s="36" t="s">
        <v>87</v>
      </c>
      <c r="U93" s="13">
        <v>34</v>
      </c>
      <c r="V93" s="13">
        <v>117</v>
      </c>
    </row>
    <row r="94" spans="1:22" ht="12.75" customHeight="1" x14ac:dyDescent="0.3">
      <c r="A94" s="2"/>
      <c r="B94" s="23" t="str">
        <f t="shared" si="2"/>
        <v>WNRF 1500# ANSI B16.5 Size 10"</v>
      </c>
      <c r="C94" s="9" t="s">
        <v>39</v>
      </c>
      <c r="D94" s="37" t="s">
        <v>97</v>
      </c>
      <c r="E94" s="9" t="s">
        <v>40</v>
      </c>
      <c r="F94" s="27" t="s">
        <v>75</v>
      </c>
      <c r="G94" s="11">
        <v>250</v>
      </c>
      <c r="H94" s="13">
        <v>584.20000000000005</v>
      </c>
      <c r="I94" s="13">
        <v>260.39999999999998</v>
      </c>
      <c r="J94" s="13">
        <v>114.3</v>
      </c>
      <c r="K94" s="10">
        <v>323.8</v>
      </c>
      <c r="L94" s="13">
        <v>485.6</v>
      </c>
      <c r="M94" s="32">
        <v>12</v>
      </c>
      <c r="N94" s="13">
        <v>50.8</v>
      </c>
      <c r="O94" s="13">
        <v>368.3</v>
      </c>
      <c r="P94" s="13">
        <v>6.4</v>
      </c>
      <c r="Q94" s="13">
        <v>12.7</v>
      </c>
      <c r="R94" s="13">
        <v>6</v>
      </c>
      <c r="S94" s="36">
        <f t="shared" si="3"/>
        <v>326.60000000000002</v>
      </c>
      <c r="T94" s="36" t="s">
        <v>89</v>
      </c>
      <c r="U94" s="13">
        <v>38</v>
      </c>
      <c r="V94" s="13">
        <v>194</v>
      </c>
    </row>
    <row r="95" spans="1:22" ht="12.75" customHeight="1" x14ac:dyDescent="0.3">
      <c r="A95" s="2"/>
      <c r="B95" s="23" t="str">
        <f t="shared" ref="B95:B112" si="4">CONCATENATE(C95,D95,$C$1,E95,$C$1,$F$1,$C$1,F95)</f>
        <v>WNRF 1500# ANSI B16.5 Size 12"</v>
      </c>
      <c r="C95" s="9" t="s">
        <v>39</v>
      </c>
      <c r="D95" s="37" t="s">
        <v>97</v>
      </c>
      <c r="E95" s="9" t="s">
        <v>40</v>
      </c>
      <c r="F95" s="27" t="s">
        <v>77</v>
      </c>
      <c r="G95" s="11">
        <v>300</v>
      </c>
      <c r="H95" s="13">
        <v>673.1</v>
      </c>
      <c r="I95" s="13">
        <v>288.8</v>
      </c>
      <c r="J95" s="13">
        <v>130.30000000000001</v>
      </c>
      <c r="K95" s="13">
        <v>381</v>
      </c>
      <c r="L95" s="13">
        <v>571.5</v>
      </c>
      <c r="M95" s="32">
        <v>16</v>
      </c>
      <c r="N95" s="13">
        <v>53.8</v>
      </c>
      <c r="O95" s="13">
        <v>450.8</v>
      </c>
      <c r="P95" s="13">
        <v>6.4</v>
      </c>
      <c r="Q95" s="13">
        <v>12.7</v>
      </c>
      <c r="R95" s="13">
        <v>6</v>
      </c>
      <c r="S95" s="36">
        <f t="shared" ref="S95:S112" si="5">(J95+U95+8)*2+R95</f>
        <v>366.6</v>
      </c>
      <c r="T95" s="36" t="s">
        <v>90</v>
      </c>
      <c r="U95" s="13">
        <v>42</v>
      </c>
      <c r="V95" s="13">
        <v>288</v>
      </c>
    </row>
    <row r="96" spans="1:22" ht="12.75" customHeight="1" x14ac:dyDescent="0.3">
      <c r="A96" s="2"/>
      <c r="B96" s="23" t="str">
        <f t="shared" si="4"/>
        <v>WNRF 1500# ANSI B16.5 Size 14"</v>
      </c>
      <c r="C96" s="9" t="s">
        <v>39</v>
      </c>
      <c r="D96" s="37" t="s">
        <v>97</v>
      </c>
      <c r="E96" s="9" t="s">
        <v>40</v>
      </c>
      <c r="F96" s="27" t="s">
        <v>78</v>
      </c>
      <c r="G96" s="11">
        <v>350</v>
      </c>
      <c r="H96" s="13">
        <v>749.3</v>
      </c>
      <c r="I96" s="13">
        <v>304.8</v>
      </c>
      <c r="J96" s="13">
        <v>139.69999999999999</v>
      </c>
      <c r="K96" s="10">
        <v>412.7</v>
      </c>
      <c r="L96" s="13">
        <v>635</v>
      </c>
      <c r="M96" s="32">
        <v>16</v>
      </c>
      <c r="N96" s="13">
        <v>60.4</v>
      </c>
      <c r="O96" s="13">
        <v>495.3</v>
      </c>
      <c r="P96" s="13">
        <v>6.4</v>
      </c>
      <c r="Q96" s="13">
        <v>12.7</v>
      </c>
      <c r="R96" s="13">
        <v>7</v>
      </c>
      <c r="S96" s="36">
        <f t="shared" si="5"/>
        <v>392.4</v>
      </c>
      <c r="T96" s="36" t="s">
        <v>93</v>
      </c>
      <c r="U96" s="13">
        <v>45</v>
      </c>
      <c r="V96" s="13">
        <v>380</v>
      </c>
    </row>
    <row r="97" spans="1:22" ht="12.75" customHeight="1" x14ac:dyDescent="0.3">
      <c r="A97" s="2"/>
      <c r="B97" s="23" t="str">
        <f t="shared" si="4"/>
        <v>WNRF 1500# ANSI B16.5 Size 16"</v>
      </c>
      <c r="C97" s="9" t="s">
        <v>39</v>
      </c>
      <c r="D97" s="37" t="s">
        <v>97</v>
      </c>
      <c r="E97" s="9" t="s">
        <v>40</v>
      </c>
      <c r="F97" s="27" t="s">
        <v>80</v>
      </c>
      <c r="G97" s="11">
        <v>400</v>
      </c>
      <c r="H97" s="13">
        <v>825.5</v>
      </c>
      <c r="I97" s="13">
        <v>317.5</v>
      </c>
      <c r="J97" s="13">
        <v>152.4</v>
      </c>
      <c r="K97" s="10">
        <v>469.9</v>
      </c>
      <c r="L97" s="13">
        <v>704.8</v>
      </c>
      <c r="M97" s="32">
        <v>16</v>
      </c>
      <c r="N97" s="13">
        <v>66.5</v>
      </c>
      <c r="O97" s="13">
        <v>552.4</v>
      </c>
      <c r="P97" s="13">
        <v>6.4</v>
      </c>
      <c r="Q97" s="13">
        <v>12.7</v>
      </c>
      <c r="R97" s="13">
        <v>7</v>
      </c>
      <c r="S97" s="36">
        <f t="shared" si="5"/>
        <v>423.8</v>
      </c>
      <c r="T97" s="36" t="s">
        <v>98</v>
      </c>
      <c r="U97" s="13">
        <v>48</v>
      </c>
      <c r="V97" s="13">
        <v>485</v>
      </c>
    </row>
    <row r="98" spans="1:22" ht="12.75" customHeight="1" x14ac:dyDescent="0.3">
      <c r="A98" s="2"/>
      <c r="B98" s="23" t="str">
        <f t="shared" si="4"/>
        <v>WNRF 1500# ANSI B16.5 Size 18"</v>
      </c>
      <c r="C98" s="9" t="s">
        <v>39</v>
      </c>
      <c r="D98" s="37" t="s">
        <v>97</v>
      </c>
      <c r="E98" s="9" t="s">
        <v>40</v>
      </c>
      <c r="F98" s="27" t="s">
        <v>81</v>
      </c>
      <c r="G98" s="11">
        <v>450</v>
      </c>
      <c r="H98" s="13">
        <v>914.4</v>
      </c>
      <c r="I98" s="13">
        <v>333.5</v>
      </c>
      <c r="J98" s="13">
        <v>168.4</v>
      </c>
      <c r="K98" s="10">
        <v>533.4</v>
      </c>
      <c r="L98" s="13">
        <v>774.7</v>
      </c>
      <c r="M98" s="32">
        <v>16</v>
      </c>
      <c r="N98" s="13">
        <v>73.099999999999994</v>
      </c>
      <c r="O98" s="13">
        <v>596.9</v>
      </c>
      <c r="P98" s="13">
        <v>6.4</v>
      </c>
      <c r="Q98" s="13">
        <v>12.7</v>
      </c>
      <c r="R98" s="13">
        <v>7</v>
      </c>
      <c r="S98" s="36">
        <f t="shared" si="5"/>
        <v>467.8</v>
      </c>
      <c r="T98" s="36" t="s">
        <v>95</v>
      </c>
      <c r="U98" s="13">
        <v>54</v>
      </c>
      <c r="V98" s="13">
        <v>644</v>
      </c>
    </row>
    <row r="99" spans="1:22" ht="12.75" customHeight="1" x14ac:dyDescent="0.3">
      <c r="A99" s="2"/>
      <c r="B99" s="23" t="str">
        <f t="shared" si="4"/>
        <v>WNRF 1500# ANSI B16.5 Size 20"</v>
      </c>
      <c r="C99" s="9" t="s">
        <v>39</v>
      </c>
      <c r="D99" s="37" t="s">
        <v>97</v>
      </c>
      <c r="E99" s="9" t="s">
        <v>40</v>
      </c>
      <c r="F99" s="27" t="s">
        <v>83</v>
      </c>
      <c r="G99" s="11">
        <v>500</v>
      </c>
      <c r="H99" s="13">
        <v>984.2</v>
      </c>
      <c r="I99" s="13">
        <v>362</v>
      </c>
      <c r="J99" s="13">
        <v>184.2</v>
      </c>
      <c r="K99" s="10">
        <v>584.20000000000005</v>
      </c>
      <c r="L99" s="13">
        <v>831.8</v>
      </c>
      <c r="M99" s="32">
        <v>16</v>
      </c>
      <c r="N99" s="13">
        <v>79.2</v>
      </c>
      <c r="O99" s="13">
        <v>641.29999999999995</v>
      </c>
      <c r="P99" s="13">
        <v>6.4</v>
      </c>
      <c r="Q99" s="13">
        <v>12.7</v>
      </c>
      <c r="R99" s="13">
        <v>7</v>
      </c>
      <c r="S99" s="36">
        <f t="shared" si="5"/>
        <v>513.4</v>
      </c>
      <c r="T99" s="36" t="s">
        <v>99</v>
      </c>
      <c r="U99" s="13">
        <v>61</v>
      </c>
      <c r="V99" s="13">
        <v>775</v>
      </c>
    </row>
    <row r="100" spans="1:22" ht="12.75" customHeight="1" x14ac:dyDescent="0.3">
      <c r="A100" s="2"/>
      <c r="B100" s="23" t="str">
        <f t="shared" si="4"/>
        <v>WNRF 1500# ANSI B16.5 Size 24"</v>
      </c>
      <c r="C100" s="9" t="s">
        <v>39</v>
      </c>
      <c r="D100" s="37" t="s">
        <v>97</v>
      </c>
      <c r="E100" s="9" t="s">
        <v>40</v>
      </c>
      <c r="F100" s="27" t="s">
        <v>85</v>
      </c>
      <c r="G100" s="11">
        <v>600</v>
      </c>
      <c r="H100" s="13">
        <v>1168.4000000000001</v>
      </c>
      <c r="I100" s="13">
        <v>412.8</v>
      </c>
      <c r="J100" s="13">
        <v>209.6</v>
      </c>
      <c r="K100" s="10">
        <v>692.1</v>
      </c>
      <c r="L100" s="13">
        <v>990.6</v>
      </c>
      <c r="M100" s="32">
        <v>16</v>
      </c>
      <c r="N100" s="13">
        <v>91.9</v>
      </c>
      <c r="O100" s="13">
        <v>762</v>
      </c>
      <c r="P100" s="13">
        <v>6.4</v>
      </c>
      <c r="Q100" s="13">
        <v>12.7</v>
      </c>
      <c r="R100" s="13">
        <v>7</v>
      </c>
      <c r="S100" s="36">
        <f t="shared" si="5"/>
        <v>570.20000000000005</v>
      </c>
      <c r="T100" s="36" t="s">
        <v>100</v>
      </c>
      <c r="U100" s="13">
        <v>64</v>
      </c>
      <c r="V100" s="13">
        <v>1232</v>
      </c>
    </row>
    <row r="101" spans="1:22" ht="12.75" customHeight="1" x14ac:dyDescent="0.3">
      <c r="A101" s="2"/>
      <c r="B101" s="22" t="str">
        <f t="shared" si="4"/>
        <v>WNRF 2500# ANSI B16.5 Size 1/2"</v>
      </c>
      <c r="C101" s="9" t="s">
        <v>39</v>
      </c>
      <c r="D101" s="37" t="s">
        <v>101</v>
      </c>
      <c r="E101" s="9" t="s">
        <v>40</v>
      </c>
      <c r="F101" s="27" t="s">
        <v>62</v>
      </c>
      <c r="G101" s="11">
        <v>15</v>
      </c>
      <c r="H101" s="13">
        <v>133.4</v>
      </c>
      <c r="I101" s="13">
        <v>79.599999999999994</v>
      </c>
      <c r="J101" s="13">
        <v>36.6</v>
      </c>
      <c r="K101" s="13">
        <v>35.1</v>
      </c>
      <c r="L101" s="13">
        <v>88.9</v>
      </c>
      <c r="M101" s="32">
        <v>4</v>
      </c>
      <c r="N101" s="13">
        <v>22.4</v>
      </c>
      <c r="O101" s="13">
        <v>42.9</v>
      </c>
      <c r="P101" s="13">
        <v>6.4</v>
      </c>
      <c r="Q101" s="13">
        <v>3</v>
      </c>
      <c r="R101" s="13">
        <v>3</v>
      </c>
      <c r="S101" s="36">
        <f t="shared" si="5"/>
        <v>124.2</v>
      </c>
      <c r="T101" s="37" t="s">
        <v>72</v>
      </c>
      <c r="U101" s="13">
        <v>16</v>
      </c>
      <c r="V101" s="13">
        <v>3.12</v>
      </c>
    </row>
    <row r="102" spans="1:22" ht="12.75" customHeight="1" x14ac:dyDescent="0.3">
      <c r="A102" s="2"/>
      <c r="B102" s="23" t="str">
        <f t="shared" si="4"/>
        <v>WNRF 2500# ANSI B16.5 Size 3/4"</v>
      </c>
      <c r="C102" s="9" t="s">
        <v>39</v>
      </c>
      <c r="D102" s="37" t="s">
        <v>101</v>
      </c>
      <c r="E102" s="9" t="s">
        <v>40</v>
      </c>
      <c r="F102" s="27" t="s">
        <v>64</v>
      </c>
      <c r="G102" s="11">
        <v>20</v>
      </c>
      <c r="H102" s="13">
        <v>139.69999999999999</v>
      </c>
      <c r="I102" s="13">
        <v>85.6</v>
      </c>
      <c r="J102" s="13">
        <v>38.200000000000003</v>
      </c>
      <c r="K102" s="10">
        <v>42.9</v>
      </c>
      <c r="L102" s="13">
        <v>95.3</v>
      </c>
      <c r="M102" s="32">
        <v>4</v>
      </c>
      <c r="N102" s="13">
        <v>22.4</v>
      </c>
      <c r="O102" s="13">
        <v>50.8</v>
      </c>
      <c r="P102" s="13">
        <v>6.4</v>
      </c>
      <c r="Q102" s="13">
        <v>3</v>
      </c>
      <c r="R102" s="13">
        <v>3</v>
      </c>
      <c r="S102" s="36">
        <f t="shared" si="5"/>
        <v>127.4</v>
      </c>
      <c r="T102" s="36" t="s">
        <v>72</v>
      </c>
      <c r="U102" s="13">
        <v>16</v>
      </c>
      <c r="V102" s="13">
        <v>3.7</v>
      </c>
    </row>
    <row r="103" spans="1:22" ht="12.75" customHeight="1" x14ac:dyDescent="0.3">
      <c r="A103" s="2"/>
      <c r="B103" s="23" t="str">
        <f t="shared" si="4"/>
        <v>WNRF 2500# ANSI B16.5 Size 1"</v>
      </c>
      <c r="C103" s="9" t="s">
        <v>39</v>
      </c>
      <c r="D103" s="37" t="s">
        <v>101</v>
      </c>
      <c r="E103" s="9" t="s">
        <v>40</v>
      </c>
      <c r="F103" s="27" t="s">
        <v>65</v>
      </c>
      <c r="G103" s="11">
        <v>25</v>
      </c>
      <c r="H103" s="13">
        <v>158.80000000000001</v>
      </c>
      <c r="I103" s="13">
        <v>95.3</v>
      </c>
      <c r="J103" s="13">
        <v>41.5</v>
      </c>
      <c r="K103" s="10">
        <v>50.8</v>
      </c>
      <c r="L103" s="13">
        <v>108</v>
      </c>
      <c r="M103" s="32">
        <v>4</v>
      </c>
      <c r="N103" s="13">
        <v>25.4</v>
      </c>
      <c r="O103" s="13">
        <v>57.2</v>
      </c>
      <c r="P103" s="13">
        <v>6.4</v>
      </c>
      <c r="Q103" s="13">
        <v>3</v>
      </c>
      <c r="R103" s="13">
        <v>3</v>
      </c>
      <c r="S103" s="36">
        <f t="shared" si="5"/>
        <v>140</v>
      </c>
      <c r="T103" s="36" t="s">
        <v>76</v>
      </c>
      <c r="U103" s="13">
        <v>19</v>
      </c>
      <c r="V103" s="13">
        <v>5.24</v>
      </c>
    </row>
    <row r="104" spans="1:22" ht="12.75" customHeight="1" x14ac:dyDescent="0.3">
      <c r="A104" s="2"/>
      <c r="B104" s="23" t="str">
        <f t="shared" si="4"/>
        <v>WNRF 2500# ANSI B16.5 Size 1½"</v>
      </c>
      <c r="C104" s="9" t="s">
        <v>39</v>
      </c>
      <c r="D104" s="37" t="s">
        <v>101</v>
      </c>
      <c r="E104" s="9" t="s">
        <v>40</v>
      </c>
      <c r="F104" s="27" t="s">
        <v>66</v>
      </c>
      <c r="G104" s="11">
        <v>40</v>
      </c>
      <c r="H104" s="13">
        <v>203.2</v>
      </c>
      <c r="I104" s="13">
        <v>117.7</v>
      </c>
      <c r="J104" s="13">
        <v>50.9</v>
      </c>
      <c r="K104" s="10">
        <v>73.099999999999994</v>
      </c>
      <c r="L104" s="13">
        <v>146.1</v>
      </c>
      <c r="M104" s="32">
        <v>4</v>
      </c>
      <c r="N104" s="13">
        <v>31.8</v>
      </c>
      <c r="O104" s="13">
        <v>79.2</v>
      </c>
      <c r="P104" s="13">
        <v>6.4</v>
      </c>
      <c r="Q104" s="13">
        <v>6.35</v>
      </c>
      <c r="R104" s="13">
        <v>3</v>
      </c>
      <c r="S104" s="36">
        <f t="shared" si="5"/>
        <v>168.8</v>
      </c>
      <c r="T104" s="37" t="s">
        <v>82</v>
      </c>
      <c r="U104" s="13">
        <v>24</v>
      </c>
      <c r="V104" s="13">
        <v>10.9</v>
      </c>
    </row>
    <row r="105" spans="1:22" ht="12.75" customHeight="1" x14ac:dyDescent="0.3">
      <c r="A105" s="2"/>
      <c r="B105" s="23" t="str">
        <f t="shared" si="4"/>
        <v>WNRF 2500# ANSI B16.5 Size 2"</v>
      </c>
      <c r="C105" s="9" t="s">
        <v>39</v>
      </c>
      <c r="D105" s="37" t="s">
        <v>101</v>
      </c>
      <c r="E105" s="9" t="s">
        <v>40</v>
      </c>
      <c r="F105" s="27" t="s">
        <v>67</v>
      </c>
      <c r="G105" s="11">
        <v>50</v>
      </c>
      <c r="H105" s="13">
        <v>235</v>
      </c>
      <c r="I105" s="13">
        <v>133.4</v>
      </c>
      <c r="J105" s="13">
        <v>57.2</v>
      </c>
      <c r="K105" s="10">
        <v>91.9</v>
      </c>
      <c r="L105" s="13">
        <v>171.5</v>
      </c>
      <c r="M105" s="32">
        <v>8</v>
      </c>
      <c r="N105" s="13">
        <v>28.4</v>
      </c>
      <c r="O105" s="13">
        <v>95.3</v>
      </c>
      <c r="P105" s="13">
        <v>6.4</v>
      </c>
      <c r="Q105" s="13">
        <v>7.87</v>
      </c>
      <c r="R105" s="13">
        <v>4</v>
      </c>
      <c r="S105" s="36">
        <f t="shared" si="5"/>
        <v>178.4</v>
      </c>
      <c r="T105" s="36" t="s">
        <v>79</v>
      </c>
      <c r="U105" s="13">
        <v>22</v>
      </c>
      <c r="V105" s="13">
        <v>16.2</v>
      </c>
    </row>
    <row r="106" spans="1:22" ht="12.75" customHeight="1" x14ac:dyDescent="0.3">
      <c r="A106" s="2"/>
      <c r="B106" s="23" t="str">
        <f t="shared" si="4"/>
        <v>WNRF 2500# ANSI B16.5 Size 3"</v>
      </c>
      <c r="C106" s="9" t="s">
        <v>39</v>
      </c>
      <c r="D106" s="37" t="s">
        <v>101</v>
      </c>
      <c r="E106" s="9" t="s">
        <v>40</v>
      </c>
      <c r="F106" s="27" t="s">
        <v>69</v>
      </c>
      <c r="G106" s="11">
        <v>80</v>
      </c>
      <c r="H106" s="12">
        <v>304.8</v>
      </c>
      <c r="I106" s="12">
        <v>174.5</v>
      </c>
      <c r="J106" s="12">
        <v>72.900000000000006</v>
      </c>
      <c r="K106" s="12">
        <v>127</v>
      </c>
      <c r="L106" s="12">
        <v>228.6</v>
      </c>
      <c r="M106" s="33">
        <v>8</v>
      </c>
      <c r="N106" s="12">
        <v>35.1</v>
      </c>
      <c r="O106" s="12">
        <v>133.4</v>
      </c>
      <c r="P106" s="12">
        <v>6.4</v>
      </c>
      <c r="Q106" s="12">
        <v>9.6999999999999993</v>
      </c>
      <c r="R106" s="12">
        <v>4</v>
      </c>
      <c r="S106" s="36">
        <f t="shared" si="5"/>
        <v>217.8</v>
      </c>
      <c r="T106" s="36" t="s">
        <v>43</v>
      </c>
      <c r="U106" s="12">
        <v>26</v>
      </c>
      <c r="V106" s="12">
        <v>36.200000000000003</v>
      </c>
    </row>
    <row r="107" spans="1:22" ht="12.75" customHeight="1" x14ac:dyDescent="0.3">
      <c r="A107" s="2"/>
      <c r="B107" s="23" t="str">
        <f t="shared" si="4"/>
        <v>WNRF 2500# ANSI B16.5 Size 4"</v>
      </c>
      <c r="C107" s="9" t="s">
        <v>39</v>
      </c>
      <c r="D107" s="37" t="s">
        <v>101</v>
      </c>
      <c r="E107" s="9" t="s">
        <v>40</v>
      </c>
      <c r="F107" s="27" t="s">
        <v>70</v>
      </c>
      <c r="G107" s="11">
        <v>100</v>
      </c>
      <c r="H107" s="13">
        <v>355.6</v>
      </c>
      <c r="I107" s="13">
        <v>196.9</v>
      </c>
      <c r="J107" s="13">
        <v>82.6</v>
      </c>
      <c r="K107" s="10">
        <v>157.19999999999999</v>
      </c>
      <c r="L107" s="13">
        <v>273.10000000000002</v>
      </c>
      <c r="M107" s="32">
        <v>8</v>
      </c>
      <c r="N107" s="13">
        <v>41.1</v>
      </c>
      <c r="O107" s="13">
        <v>165.1</v>
      </c>
      <c r="P107" s="13">
        <v>6.4</v>
      </c>
      <c r="Q107" s="13">
        <v>11.18</v>
      </c>
      <c r="R107" s="13">
        <v>5</v>
      </c>
      <c r="S107" s="36">
        <f t="shared" si="5"/>
        <v>248.2</v>
      </c>
      <c r="T107" s="36" t="s">
        <v>57</v>
      </c>
      <c r="U107" s="13">
        <v>31</v>
      </c>
      <c r="V107" s="13">
        <v>55.3</v>
      </c>
    </row>
    <row r="108" spans="1:22" ht="12.75" customHeight="1" x14ac:dyDescent="0.3">
      <c r="A108" s="2"/>
      <c r="B108" s="23" t="str">
        <f t="shared" si="4"/>
        <v>WNRF 2500# ANSI B16.5 Size 5"</v>
      </c>
      <c r="C108" s="9" t="s">
        <v>39</v>
      </c>
      <c r="D108" s="37" t="s">
        <v>101</v>
      </c>
      <c r="E108" s="9" t="s">
        <v>40</v>
      </c>
      <c r="F108" s="27" t="s">
        <v>71</v>
      </c>
      <c r="G108" s="11">
        <v>125</v>
      </c>
      <c r="H108" s="13">
        <v>419.1</v>
      </c>
      <c r="I108" s="13">
        <v>235</v>
      </c>
      <c r="J108" s="13">
        <v>98.3</v>
      </c>
      <c r="K108" s="10">
        <v>185.6</v>
      </c>
      <c r="L108" s="13">
        <v>323.89999999999998</v>
      </c>
      <c r="M108" s="32">
        <v>8</v>
      </c>
      <c r="N108" s="13">
        <v>47.8</v>
      </c>
      <c r="O108" s="13">
        <v>203.2</v>
      </c>
      <c r="P108" s="13">
        <v>6.4</v>
      </c>
      <c r="Q108" s="13">
        <v>11.18</v>
      </c>
      <c r="R108" s="13">
        <v>5</v>
      </c>
      <c r="S108" s="36">
        <f t="shared" si="5"/>
        <v>289.60000000000002</v>
      </c>
      <c r="T108" s="36" t="s">
        <v>88</v>
      </c>
      <c r="U108" s="13">
        <v>36</v>
      </c>
      <c r="V108" s="13">
        <v>92.5</v>
      </c>
    </row>
    <row r="109" spans="1:22" ht="12.75" customHeight="1" x14ac:dyDescent="0.3">
      <c r="A109" s="2"/>
      <c r="B109" s="23" t="str">
        <f t="shared" si="4"/>
        <v>WNRF 2500# ANSI B16.5 Size 6"</v>
      </c>
      <c r="C109" s="9" t="s">
        <v>39</v>
      </c>
      <c r="D109" s="37" t="s">
        <v>101</v>
      </c>
      <c r="E109" s="9" t="s">
        <v>40</v>
      </c>
      <c r="F109" s="27" t="s">
        <v>73</v>
      </c>
      <c r="G109" s="11">
        <v>150</v>
      </c>
      <c r="H109" s="13">
        <v>482.6</v>
      </c>
      <c r="I109" s="13">
        <v>279.5</v>
      </c>
      <c r="J109" s="13">
        <v>114.4</v>
      </c>
      <c r="K109" s="10">
        <v>215.9</v>
      </c>
      <c r="L109" s="13">
        <v>368.3</v>
      </c>
      <c r="M109" s="32">
        <v>8</v>
      </c>
      <c r="N109" s="13">
        <v>53.8</v>
      </c>
      <c r="O109" s="13">
        <v>235</v>
      </c>
      <c r="P109" s="13">
        <v>6.4</v>
      </c>
      <c r="Q109" s="13">
        <v>12.7</v>
      </c>
      <c r="R109" s="13">
        <v>6</v>
      </c>
      <c r="S109" s="36">
        <f t="shared" si="5"/>
        <v>326.8</v>
      </c>
      <c r="T109" s="36" t="s">
        <v>89</v>
      </c>
      <c r="U109" s="13">
        <v>38</v>
      </c>
      <c r="V109" s="13">
        <v>143</v>
      </c>
    </row>
    <row r="110" spans="1:22" ht="12.75" customHeight="1" x14ac:dyDescent="0.3">
      <c r="A110" s="2"/>
      <c r="B110" s="23" t="str">
        <f t="shared" si="4"/>
        <v>WNRF 2500# ANSI B16.5 Size 8"</v>
      </c>
      <c r="C110" s="9" t="s">
        <v>39</v>
      </c>
      <c r="D110" s="37" t="s">
        <v>101</v>
      </c>
      <c r="E110" s="9" t="s">
        <v>40</v>
      </c>
      <c r="F110" s="27" t="s">
        <v>74</v>
      </c>
      <c r="G110" s="11">
        <v>200</v>
      </c>
      <c r="H110" s="13">
        <v>552.5</v>
      </c>
      <c r="I110" s="13">
        <v>323.89999999999998</v>
      </c>
      <c r="J110" s="13">
        <v>133.4</v>
      </c>
      <c r="K110" s="10">
        <v>269.7</v>
      </c>
      <c r="L110" s="13">
        <v>438.2</v>
      </c>
      <c r="M110" s="32">
        <v>12</v>
      </c>
      <c r="N110" s="13">
        <v>53.8</v>
      </c>
      <c r="O110" s="13">
        <v>304.8</v>
      </c>
      <c r="P110" s="13">
        <v>6.4</v>
      </c>
      <c r="Q110" s="13">
        <v>12.7</v>
      </c>
      <c r="R110" s="13">
        <v>6</v>
      </c>
      <c r="S110" s="36">
        <f t="shared" si="5"/>
        <v>364.8</v>
      </c>
      <c r="T110" s="36" t="s">
        <v>89</v>
      </c>
      <c r="U110" s="13">
        <v>38</v>
      </c>
      <c r="V110" s="13">
        <v>215</v>
      </c>
    </row>
    <row r="111" spans="1:22" ht="12.75" customHeight="1" x14ac:dyDescent="0.3">
      <c r="A111" s="2"/>
      <c r="B111" s="23" t="str">
        <f t="shared" si="4"/>
        <v>WNRF 2500# ANSI B16.5 Size 10"</v>
      </c>
      <c r="C111" s="9" t="s">
        <v>39</v>
      </c>
      <c r="D111" s="37" t="s">
        <v>101</v>
      </c>
      <c r="E111" s="9" t="s">
        <v>40</v>
      </c>
      <c r="F111" s="27" t="s">
        <v>75</v>
      </c>
      <c r="G111" s="11">
        <v>250</v>
      </c>
      <c r="H111" s="13">
        <v>673.1</v>
      </c>
      <c r="I111" s="13">
        <v>125.5</v>
      </c>
      <c r="J111" s="13">
        <v>171.5</v>
      </c>
      <c r="K111" s="10">
        <v>323.8</v>
      </c>
      <c r="L111" s="13">
        <v>539.79999999999995</v>
      </c>
      <c r="M111" s="32">
        <v>12</v>
      </c>
      <c r="N111" s="13">
        <v>66.5</v>
      </c>
      <c r="O111" s="13">
        <v>374.7</v>
      </c>
      <c r="P111" s="13">
        <v>6.4</v>
      </c>
      <c r="Q111" s="13">
        <v>12.7</v>
      </c>
      <c r="R111" s="13">
        <v>6</v>
      </c>
      <c r="S111" s="36">
        <f t="shared" si="5"/>
        <v>461</v>
      </c>
      <c r="T111" s="36" t="s">
        <v>98</v>
      </c>
      <c r="U111" s="13">
        <v>48</v>
      </c>
      <c r="V111" s="13">
        <v>406</v>
      </c>
    </row>
    <row r="112" spans="1:22" ht="12.75" customHeight="1" x14ac:dyDescent="0.3">
      <c r="A112" s="2"/>
      <c r="B112" s="23" t="str">
        <f t="shared" si="4"/>
        <v>WNRF 2500# ANSI B16.5 Size 12"</v>
      </c>
      <c r="C112" s="9" t="s">
        <v>39</v>
      </c>
      <c r="D112" s="37" t="s">
        <v>101</v>
      </c>
      <c r="E112" s="9" t="s">
        <v>40</v>
      </c>
      <c r="F112" s="27" t="s">
        <v>77</v>
      </c>
      <c r="G112" s="11">
        <v>300</v>
      </c>
      <c r="H112" s="13">
        <v>762</v>
      </c>
      <c r="I112" s="13">
        <v>470</v>
      </c>
      <c r="J112" s="13">
        <v>190.6</v>
      </c>
      <c r="K112" s="13">
        <v>381</v>
      </c>
      <c r="L112" s="13">
        <v>619.29999999999995</v>
      </c>
      <c r="M112" s="32">
        <v>12</v>
      </c>
      <c r="N112" s="13">
        <v>73.2</v>
      </c>
      <c r="O112" s="13">
        <v>441.5</v>
      </c>
      <c r="P112" s="13">
        <v>6.4</v>
      </c>
      <c r="Q112" s="13">
        <v>12.7</v>
      </c>
      <c r="R112" s="13">
        <v>6</v>
      </c>
      <c r="S112" s="36">
        <f t="shared" si="5"/>
        <v>505.2</v>
      </c>
      <c r="T112" s="36" t="s">
        <v>94</v>
      </c>
      <c r="U112" s="13">
        <v>51</v>
      </c>
      <c r="V112" s="13">
        <v>572</v>
      </c>
    </row>
    <row r="113" spans="1:22" ht="12.75" customHeight="1" x14ac:dyDescent="0.3">
      <c r="A113" s="2"/>
      <c r="B113" s="22" t="str">
        <f t="shared" ref="B113:B131" si="6">CONCATENATE(C113,D113,$C$1,E113,$C$1,$F$1,$C$1,F113)</f>
        <v>WNRF 150# ANSI B16.47-API 605 Size 26"</v>
      </c>
      <c r="C113" s="9" t="s">
        <v>39</v>
      </c>
      <c r="D113" s="37" t="s">
        <v>61</v>
      </c>
      <c r="E113" s="9" t="s">
        <v>103</v>
      </c>
      <c r="F113" s="27" t="s">
        <v>41</v>
      </c>
      <c r="G113" s="11">
        <v>650</v>
      </c>
      <c r="H113" s="12">
        <v>785.9</v>
      </c>
      <c r="I113" s="12">
        <v>88.9</v>
      </c>
      <c r="J113" s="12">
        <v>41.1</v>
      </c>
      <c r="K113" s="12">
        <v>711.2</v>
      </c>
      <c r="L113" s="12">
        <v>744.5</v>
      </c>
      <c r="M113" s="33">
        <v>36</v>
      </c>
      <c r="N113" s="12">
        <v>22.4</v>
      </c>
      <c r="O113" s="12">
        <v>684.3</v>
      </c>
      <c r="P113" s="13">
        <v>1.6</v>
      </c>
      <c r="Q113" s="12">
        <v>9.6999999999999993</v>
      </c>
      <c r="R113" s="12">
        <v>7</v>
      </c>
      <c r="S113" s="36">
        <f t="shared" ref="S113:S148" si="7">(J113+U113+8)*2+R113</f>
        <v>137.19999999999999</v>
      </c>
      <c r="T113" s="36" t="s">
        <v>72</v>
      </c>
      <c r="U113" s="12">
        <v>16</v>
      </c>
      <c r="V113" s="12">
        <v>63</v>
      </c>
    </row>
    <row r="114" spans="1:22" ht="12.75" customHeight="1" x14ac:dyDescent="0.3">
      <c r="A114" s="2"/>
      <c r="B114" s="23" t="str">
        <f t="shared" si="6"/>
        <v>WNRF 150# ANSI B16.47-API 605 Size 28"</v>
      </c>
      <c r="C114" s="9" t="s">
        <v>39</v>
      </c>
      <c r="D114" s="37" t="s">
        <v>61</v>
      </c>
      <c r="E114" s="9" t="s">
        <v>103</v>
      </c>
      <c r="F114" s="27" t="s">
        <v>44</v>
      </c>
      <c r="G114" s="11">
        <v>700</v>
      </c>
      <c r="H114" s="12">
        <v>836.7</v>
      </c>
      <c r="I114" s="12">
        <v>95.3</v>
      </c>
      <c r="J114" s="12">
        <v>44.5</v>
      </c>
      <c r="K114" s="12">
        <v>762</v>
      </c>
      <c r="L114" s="12">
        <v>795.3</v>
      </c>
      <c r="M114" s="33">
        <v>40</v>
      </c>
      <c r="N114" s="12">
        <v>22.4</v>
      </c>
      <c r="O114" s="12">
        <v>735.1</v>
      </c>
      <c r="P114" s="13">
        <v>1.6</v>
      </c>
      <c r="Q114" s="12">
        <v>9.6999999999999993</v>
      </c>
      <c r="R114" s="12">
        <v>7</v>
      </c>
      <c r="S114" s="36">
        <f t="shared" si="7"/>
        <v>144</v>
      </c>
      <c r="T114" s="36" t="s">
        <v>72</v>
      </c>
      <c r="U114" s="12">
        <v>16</v>
      </c>
      <c r="V114" s="12">
        <v>74</v>
      </c>
    </row>
    <row r="115" spans="1:22" ht="12.75" customHeight="1" x14ac:dyDescent="0.3">
      <c r="A115" s="2"/>
      <c r="B115" s="23" t="str">
        <f t="shared" si="6"/>
        <v>WNRF 150# ANSI B16.47-API 605 Size 30"</v>
      </c>
      <c r="C115" s="9" t="s">
        <v>39</v>
      </c>
      <c r="D115" s="37" t="s">
        <v>61</v>
      </c>
      <c r="E115" s="9" t="s">
        <v>103</v>
      </c>
      <c r="F115" s="27" t="s">
        <v>45</v>
      </c>
      <c r="G115" s="11">
        <v>750</v>
      </c>
      <c r="H115" s="12">
        <v>887.5</v>
      </c>
      <c r="I115" s="12">
        <v>100.1</v>
      </c>
      <c r="J115" s="12">
        <v>44.5</v>
      </c>
      <c r="K115" s="12">
        <v>812.8</v>
      </c>
      <c r="L115" s="12">
        <v>846.1</v>
      </c>
      <c r="M115" s="33">
        <v>44</v>
      </c>
      <c r="N115" s="12">
        <v>22.4</v>
      </c>
      <c r="O115" s="12">
        <v>787.4</v>
      </c>
      <c r="P115" s="13">
        <v>1.6</v>
      </c>
      <c r="Q115" s="12">
        <v>9.6999999999999993</v>
      </c>
      <c r="R115" s="12">
        <v>7</v>
      </c>
      <c r="S115" s="36">
        <f t="shared" si="7"/>
        <v>144</v>
      </c>
      <c r="T115" s="36" t="s">
        <v>72</v>
      </c>
      <c r="U115" s="12">
        <v>16</v>
      </c>
      <c r="V115" s="12">
        <v>80</v>
      </c>
    </row>
    <row r="116" spans="1:22" ht="12.75" customHeight="1" x14ac:dyDescent="0.3">
      <c r="A116" s="2"/>
      <c r="B116" s="23" t="str">
        <f t="shared" si="6"/>
        <v>WNRF 150# ANSI B16.47-API 605 Size 32"</v>
      </c>
      <c r="C116" s="9" t="s">
        <v>39</v>
      </c>
      <c r="D116" s="37" t="s">
        <v>61</v>
      </c>
      <c r="E116" s="9" t="s">
        <v>103</v>
      </c>
      <c r="F116" s="27" t="s">
        <v>46</v>
      </c>
      <c r="G116" s="11">
        <v>800</v>
      </c>
      <c r="H116" s="12">
        <v>941.3</v>
      </c>
      <c r="I116" s="12">
        <v>108</v>
      </c>
      <c r="J116" s="12">
        <v>46</v>
      </c>
      <c r="K116" s="12">
        <v>863.6</v>
      </c>
      <c r="L116" s="12">
        <v>900.2</v>
      </c>
      <c r="M116" s="33">
        <v>48</v>
      </c>
      <c r="N116" s="12">
        <v>22.4</v>
      </c>
      <c r="O116" s="12">
        <v>839.7</v>
      </c>
      <c r="P116" s="13">
        <v>1.6</v>
      </c>
      <c r="Q116" s="12">
        <v>9.6999999999999993</v>
      </c>
      <c r="R116" s="12">
        <v>7</v>
      </c>
      <c r="S116" s="36">
        <f t="shared" si="7"/>
        <v>147</v>
      </c>
      <c r="T116" s="36" t="s">
        <v>72</v>
      </c>
      <c r="U116" s="12">
        <v>16</v>
      </c>
      <c r="V116" s="12">
        <v>92</v>
      </c>
    </row>
    <row r="117" spans="1:22" ht="12.75" customHeight="1" x14ac:dyDescent="0.3">
      <c r="A117" s="2"/>
      <c r="B117" s="23" t="str">
        <f t="shared" si="6"/>
        <v>WNRF 150# ANSI B16.47-API 605 Size 34"</v>
      </c>
      <c r="C117" s="9" t="s">
        <v>39</v>
      </c>
      <c r="D117" s="37" t="s">
        <v>61</v>
      </c>
      <c r="E117" s="9" t="s">
        <v>103</v>
      </c>
      <c r="F117" s="27" t="s">
        <v>48</v>
      </c>
      <c r="G117" s="11">
        <v>850</v>
      </c>
      <c r="H117" s="12">
        <v>1004.8</v>
      </c>
      <c r="I117" s="12">
        <v>110.2</v>
      </c>
      <c r="J117" s="12">
        <v>49.3</v>
      </c>
      <c r="K117" s="12">
        <v>920.8</v>
      </c>
      <c r="L117" s="12">
        <v>957.3</v>
      </c>
      <c r="M117" s="33">
        <v>40</v>
      </c>
      <c r="N117" s="12">
        <v>25.4</v>
      </c>
      <c r="O117" s="12">
        <v>892</v>
      </c>
      <c r="P117" s="13">
        <v>1.6</v>
      </c>
      <c r="Q117" s="12">
        <v>9.6999999999999993</v>
      </c>
      <c r="R117" s="12">
        <v>7</v>
      </c>
      <c r="S117" s="36">
        <f t="shared" si="7"/>
        <v>157.6</v>
      </c>
      <c r="T117" s="36" t="s">
        <v>102</v>
      </c>
      <c r="U117" s="12">
        <v>18</v>
      </c>
      <c r="V117" s="12">
        <v>113</v>
      </c>
    </row>
    <row r="118" spans="1:22" ht="12.75" customHeight="1" x14ac:dyDescent="0.3">
      <c r="A118" s="2"/>
      <c r="B118" s="23" t="str">
        <f t="shared" si="6"/>
        <v>WNRF 150# ANSI B16.47-API 605 Size 36"</v>
      </c>
      <c r="C118" s="9" t="s">
        <v>39</v>
      </c>
      <c r="D118" s="37" t="s">
        <v>61</v>
      </c>
      <c r="E118" s="9" t="s">
        <v>103</v>
      </c>
      <c r="F118" s="27" t="s">
        <v>49</v>
      </c>
      <c r="G118" s="11">
        <v>900</v>
      </c>
      <c r="H118" s="12">
        <v>1057.0999999999999</v>
      </c>
      <c r="I118" s="12">
        <v>117.3</v>
      </c>
      <c r="J118" s="12">
        <v>52.3</v>
      </c>
      <c r="K118" s="12">
        <v>971.6</v>
      </c>
      <c r="L118" s="12">
        <v>1009.7</v>
      </c>
      <c r="M118" s="33">
        <v>44</v>
      </c>
      <c r="N118" s="12">
        <v>25.4</v>
      </c>
      <c r="O118" s="12">
        <v>944.6</v>
      </c>
      <c r="P118" s="13">
        <v>1.6</v>
      </c>
      <c r="Q118" s="12">
        <v>9.6999999999999993</v>
      </c>
      <c r="R118" s="12">
        <v>7</v>
      </c>
      <c r="S118" s="36">
        <f t="shared" si="7"/>
        <v>163.6</v>
      </c>
      <c r="T118" s="36" t="s">
        <v>102</v>
      </c>
      <c r="U118" s="12">
        <v>18</v>
      </c>
      <c r="V118" s="12">
        <v>129</v>
      </c>
    </row>
    <row r="119" spans="1:22" ht="12.75" customHeight="1" x14ac:dyDescent="0.3">
      <c r="A119" s="2"/>
      <c r="B119" s="23" t="str">
        <f t="shared" si="6"/>
        <v>WNRF 150# ANSI B16.47-API 605 Size 38"</v>
      </c>
      <c r="C119" s="9" t="s">
        <v>39</v>
      </c>
      <c r="D119" s="37" t="s">
        <v>61</v>
      </c>
      <c r="E119" s="9" t="s">
        <v>103</v>
      </c>
      <c r="F119" s="27" t="s">
        <v>50</v>
      </c>
      <c r="G119" s="11">
        <v>950</v>
      </c>
      <c r="H119" s="12">
        <v>1124</v>
      </c>
      <c r="I119" s="12">
        <v>124</v>
      </c>
      <c r="J119" s="12">
        <v>53.8</v>
      </c>
      <c r="K119" s="12">
        <v>1022.4</v>
      </c>
      <c r="L119" s="12">
        <v>1069.8</v>
      </c>
      <c r="M119" s="33">
        <v>40</v>
      </c>
      <c r="N119" s="12">
        <v>28.4</v>
      </c>
      <c r="O119" s="12">
        <v>997</v>
      </c>
      <c r="P119" s="13">
        <v>1.6</v>
      </c>
      <c r="Q119" s="12">
        <v>9.6999999999999993</v>
      </c>
      <c r="R119" s="12">
        <v>7</v>
      </c>
      <c r="S119" s="36">
        <f t="shared" si="7"/>
        <v>168.6</v>
      </c>
      <c r="T119" s="36" t="s">
        <v>76</v>
      </c>
      <c r="U119" s="12">
        <v>19</v>
      </c>
      <c r="V119" s="12">
        <v>150</v>
      </c>
    </row>
    <row r="120" spans="1:22" ht="12.75" customHeight="1" x14ac:dyDescent="0.3">
      <c r="A120" s="2"/>
      <c r="B120" s="23" t="str">
        <f t="shared" si="6"/>
        <v>WNRF 150# ANSI B16.47-API 605 Size 40"</v>
      </c>
      <c r="C120" s="9" t="s">
        <v>39</v>
      </c>
      <c r="D120" s="37" t="s">
        <v>61</v>
      </c>
      <c r="E120" s="9" t="s">
        <v>103</v>
      </c>
      <c r="F120" s="27" t="s">
        <v>51</v>
      </c>
      <c r="G120" s="11">
        <v>1000</v>
      </c>
      <c r="H120" s="12">
        <v>1174.8</v>
      </c>
      <c r="I120" s="12">
        <v>128.5</v>
      </c>
      <c r="J120" s="12">
        <v>55.6</v>
      </c>
      <c r="K120" s="12">
        <v>1120.5999999999999</v>
      </c>
      <c r="L120" s="12">
        <v>1120.5999999999999</v>
      </c>
      <c r="M120" s="33">
        <v>44</v>
      </c>
      <c r="N120" s="12">
        <v>28.4</v>
      </c>
      <c r="O120" s="12">
        <v>1049.3</v>
      </c>
      <c r="P120" s="13">
        <v>1.6</v>
      </c>
      <c r="Q120" s="12">
        <v>9.6999999999999993</v>
      </c>
      <c r="R120" s="12">
        <v>7</v>
      </c>
      <c r="S120" s="36">
        <f t="shared" si="7"/>
        <v>172.2</v>
      </c>
      <c r="T120" s="36" t="s">
        <v>76</v>
      </c>
      <c r="U120" s="12">
        <v>19</v>
      </c>
      <c r="V120" s="12">
        <v>162</v>
      </c>
    </row>
    <row r="121" spans="1:22" ht="12.75" customHeight="1" x14ac:dyDescent="0.3">
      <c r="A121" s="2"/>
      <c r="B121" s="23" t="str">
        <f t="shared" si="6"/>
        <v>WNRF 150# ANSI B16.47-API 605 Size 42"</v>
      </c>
      <c r="C121" s="9" t="s">
        <v>39</v>
      </c>
      <c r="D121" s="37" t="s">
        <v>61</v>
      </c>
      <c r="E121" s="9" t="s">
        <v>103</v>
      </c>
      <c r="F121" s="27" t="s">
        <v>52</v>
      </c>
      <c r="G121" s="11">
        <v>1050</v>
      </c>
      <c r="H121" s="12">
        <v>1225.5999999999999</v>
      </c>
      <c r="I121" s="12">
        <v>133.4</v>
      </c>
      <c r="J121" s="12">
        <v>58.7</v>
      </c>
      <c r="K121" s="12">
        <v>1130.3</v>
      </c>
      <c r="L121" s="12">
        <v>1171.4000000000001</v>
      </c>
      <c r="M121" s="33">
        <v>48</v>
      </c>
      <c r="N121" s="12">
        <v>28.4</v>
      </c>
      <c r="O121" s="12">
        <v>1101.9000000000001</v>
      </c>
      <c r="P121" s="13">
        <v>1.6</v>
      </c>
      <c r="Q121" s="12">
        <v>11.2</v>
      </c>
      <c r="R121" s="12">
        <v>7</v>
      </c>
      <c r="S121" s="36">
        <f t="shared" si="7"/>
        <v>178.4</v>
      </c>
      <c r="T121" s="36" t="s">
        <v>76</v>
      </c>
      <c r="U121" s="12">
        <v>19</v>
      </c>
      <c r="V121" s="12">
        <v>184</v>
      </c>
    </row>
    <row r="122" spans="1:22" ht="12.75" customHeight="1" x14ac:dyDescent="0.3">
      <c r="A122" s="2"/>
      <c r="B122" s="23" t="str">
        <f t="shared" si="6"/>
        <v>WNRF 150# ANSI B16.47-API 605 Size 44"</v>
      </c>
      <c r="C122" s="9" t="s">
        <v>39</v>
      </c>
      <c r="D122" s="37" t="s">
        <v>61</v>
      </c>
      <c r="E122" s="9" t="s">
        <v>103</v>
      </c>
      <c r="F122" s="27" t="s">
        <v>53</v>
      </c>
      <c r="G122" s="11">
        <v>1100</v>
      </c>
      <c r="H122" s="12">
        <v>1276.4000000000001</v>
      </c>
      <c r="I122" s="12">
        <v>136.69999999999999</v>
      </c>
      <c r="J122" s="12">
        <v>60.5</v>
      </c>
      <c r="K122" s="12">
        <v>1435.1</v>
      </c>
      <c r="L122" s="12">
        <v>1222.2</v>
      </c>
      <c r="M122" s="33">
        <v>52</v>
      </c>
      <c r="N122" s="12">
        <v>28.4</v>
      </c>
      <c r="O122" s="12">
        <v>1152.7</v>
      </c>
      <c r="P122" s="13">
        <v>1.6</v>
      </c>
      <c r="Q122" s="12">
        <v>11.2</v>
      </c>
      <c r="R122" s="12">
        <v>7</v>
      </c>
      <c r="S122" s="36">
        <f t="shared" si="7"/>
        <v>182</v>
      </c>
      <c r="T122" s="36" t="s">
        <v>76</v>
      </c>
      <c r="U122" s="12">
        <v>19</v>
      </c>
      <c r="V122" s="12">
        <v>192</v>
      </c>
    </row>
    <row r="123" spans="1:22" ht="12.75" customHeight="1" x14ac:dyDescent="0.3">
      <c r="A123" s="2"/>
      <c r="B123" s="23" t="str">
        <f t="shared" si="6"/>
        <v>WNRF 150# ANSI B16.47-API 605 Size 46"</v>
      </c>
      <c r="C123" s="9" t="s">
        <v>39</v>
      </c>
      <c r="D123" s="37" t="s">
        <v>61</v>
      </c>
      <c r="E123" s="9" t="s">
        <v>103</v>
      </c>
      <c r="F123" s="27" t="s">
        <v>54</v>
      </c>
      <c r="G123" s="11">
        <v>1150</v>
      </c>
      <c r="H123" s="12">
        <v>1341.4</v>
      </c>
      <c r="I123" s="12">
        <v>144.5</v>
      </c>
      <c r="J123" s="12">
        <v>62</v>
      </c>
      <c r="K123" s="12">
        <v>1234.9000000000001</v>
      </c>
      <c r="L123" s="12">
        <v>1284.2</v>
      </c>
      <c r="M123" s="33">
        <v>40</v>
      </c>
      <c r="N123" s="12">
        <v>31.8</v>
      </c>
      <c r="O123" s="12">
        <v>1205</v>
      </c>
      <c r="P123" s="13">
        <v>1.6</v>
      </c>
      <c r="Q123" s="12">
        <v>11.2</v>
      </c>
      <c r="R123" s="12">
        <v>7</v>
      </c>
      <c r="S123" s="36">
        <f t="shared" si="7"/>
        <v>191</v>
      </c>
      <c r="T123" s="36" t="s">
        <v>79</v>
      </c>
      <c r="U123" s="12">
        <v>22</v>
      </c>
      <c r="V123" s="12">
        <v>224</v>
      </c>
    </row>
    <row r="124" spans="1:22" ht="12.75" customHeight="1" x14ac:dyDescent="0.3">
      <c r="A124" s="2"/>
      <c r="B124" s="23" t="str">
        <f t="shared" si="6"/>
        <v>WNRF 150# ANSI B16.47-API 605 Size 48"</v>
      </c>
      <c r="C124" s="9" t="s">
        <v>39</v>
      </c>
      <c r="D124" s="37" t="s">
        <v>61</v>
      </c>
      <c r="E124" s="9" t="s">
        <v>103</v>
      </c>
      <c r="F124" s="27" t="s">
        <v>55</v>
      </c>
      <c r="G124" s="11">
        <v>1200</v>
      </c>
      <c r="H124" s="12">
        <v>1392.2</v>
      </c>
      <c r="I124" s="12">
        <v>149.4</v>
      </c>
      <c r="J124" s="12">
        <v>65</v>
      </c>
      <c r="K124" s="12">
        <v>1289.0999999999999</v>
      </c>
      <c r="L124" s="12">
        <v>1335</v>
      </c>
      <c r="M124" s="33">
        <v>44</v>
      </c>
      <c r="N124" s="12">
        <v>31.8</v>
      </c>
      <c r="O124" s="12">
        <v>1257.3</v>
      </c>
      <c r="P124" s="13">
        <v>1.6</v>
      </c>
      <c r="Q124" s="12">
        <v>11.2</v>
      </c>
      <c r="R124" s="12">
        <v>7</v>
      </c>
      <c r="S124" s="36">
        <f t="shared" si="7"/>
        <v>197</v>
      </c>
      <c r="T124" s="36" t="s">
        <v>79</v>
      </c>
      <c r="U124" s="12">
        <v>22</v>
      </c>
      <c r="V124" s="12">
        <v>231</v>
      </c>
    </row>
    <row r="125" spans="1:22" ht="12.75" customHeight="1" x14ac:dyDescent="0.3">
      <c r="A125" s="2"/>
      <c r="B125" s="23" t="str">
        <f t="shared" si="6"/>
        <v>WNRF 150# ANSI B16.47-API 605 Size 50"</v>
      </c>
      <c r="C125" s="9" t="s">
        <v>39</v>
      </c>
      <c r="D125" s="37" t="s">
        <v>61</v>
      </c>
      <c r="E125" s="9" t="s">
        <v>103</v>
      </c>
      <c r="F125" s="27" t="s">
        <v>56</v>
      </c>
      <c r="G125" s="11">
        <v>1250</v>
      </c>
      <c r="H125" s="12">
        <v>1435.4</v>
      </c>
      <c r="I125" s="12">
        <v>153.9</v>
      </c>
      <c r="J125" s="12">
        <v>68.3</v>
      </c>
      <c r="K125" s="12">
        <v>1339.9</v>
      </c>
      <c r="L125" s="12">
        <v>1385.8</v>
      </c>
      <c r="M125" s="33">
        <v>48</v>
      </c>
      <c r="N125" s="12">
        <v>31.8</v>
      </c>
      <c r="O125" s="12">
        <v>1308.0999999999999</v>
      </c>
      <c r="P125" s="13">
        <v>1.6</v>
      </c>
      <c r="Q125" s="12">
        <v>11.2</v>
      </c>
      <c r="R125" s="12">
        <v>7</v>
      </c>
      <c r="S125" s="36">
        <f t="shared" si="7"/>
        <v>203.6</v>
      </c>
      <c r="T125" s="36" t="s">
        <v>79</v>
      </c>
      <c r="U125" s="12">
        <v>22</v>
      </c>
      <c r="V125" s="12">
        <v>263</v>
      </c>
    </row>
    <row r="126" spans="1:22" ht="12.75" customHeight="1" x14ac:dyDescent="0.3">
      <c r="A126" s="2"/>
      <c r="B126" s="23" t="str">
        <f t="shared" si="6"/>
        <v>WNRF 150# ANSI B16.47-API 605 Size 52"</v>
      </c>
      <c r="C126" s="9" t="s">
        <v>39</v>
      </c>
      <c r="D126" s="37" t="s">
        <v>61</v>
      </c>
      <c r="E126" s="9" t="s">
        <v>103</v>
      </c>
      <c r="F126" s="27" t="s">
        <v>58</v>
      </c>
      <c r="G126" s="11">
        <v>1300</v>
      </c>
      <c r="H126" s="12">
        <v>1493.8</v>
      </c>
      <c r="I126" s="12">
        <v>157.19999999999999</v>
      </c>
      <c r="J126" s="12">
        <v>69.900000000000006</v>
      </c>
      <c r="K126" s="12">
        <v>1390.7</v>
      </c>
      <c r="L126" s="12">
        <v>1436.6</v>
      </c>
      <c r="M126" s="33">
        <v>52</v>
      </c>
      <c r="N126" s="12">
        <v>31.8</v>
      </c>
      <c r="O126" s="12">
        <v>1360.4</v>
      </c>
      <c r="P126" s="13">
        <v>1.6</v>
      </c>
      <c r="Q126" s="12">
        <v>11.2</v>
      </c>
      <c r="R126" s="12">
        <v>7</v>
      </c>
      <c r="S126" s="36">
        <f t="shared" si="7"/>
        <v>206.8</v>
      </c>
      <c r="T126" s="36" t="s">
        <v>79</v>
      </c>
      <c r="U126" s="12">
        <v>22</v>
      </c>
      <c r="V126" s="12">
        <v>285</v>
      </c>
    </row>
    <row r="127" spans="1:22" ht="12.75" customHeight="1" x14ac:dyDescent="0.3">
      <c r="A127" s="2"/>
      <c r="B127" s="23" t="str">
        <f t="shared" si="6"/>
        <v>WNRF 150# ANSI B16.47-API 605 Size 54"</v>
      </c>
      <c r="C127" s="9" t="s">
        <v>39</v>
      </c>
      <c r="D127" s="37" t="s">
        <v>61</v>
      </c>
      <c r="E127" s="9" t="s">
        <v>103</v>
      </c>
      <c r="F127" s="27" t="s">
        <v>59</v>
      </c>
      <c r="G127" s="11">
        <v>1350</v>
      </c>
      <c r="H127" s="12">
        <v>1549.4</v>
      </c>
      <c r="I127" s="12">
        <v>162.1</v>
      </c>
      <c r="J127" s="12">
        <v>71.400000000000006</v>
      </c>
      <c r="K127" s="12">
        <v>1441.5</v>
      </c>
      <c r="L127" s="12">
        <v>1492.3</v>
      </c>
      <c r="M127" s="33">
        <v>56</v>
      </c>
      <c r="N127" s="12">
        <v>31.8</v>
      </c>
      <c r="O127" s="12">
        <v>1412.7</v>
      </c>
      <c r="P127" s="13">
        <v>1.6</v>
      </c>
      <c r="Q127" s="12">
        <v>11.2</v>
      </c>
      <c r="R127" s="12">
        <v>7</v>
      </c>
      <c r="S127" s="36">
        <f t="shared" si="7"/>
        <v>209.8</v>
      </c>
      <c r="T127" s="36" t="s">
        <v>79</v>
      </c>
      <c r="U127" s="12">
        <v>22</v>
      </c>
      <c r="V127" s="12">
        <v>287</v>
      </c>
    </row>
    <row r="128" spans="1:22" ht="12.75" customHeight="1" x14ac:dyDescent="0.3">
      <c r="A128" s="2"/>
      <c r="B128" s="23" t="str">
        <f t="shared" si="6"/>
        <v>WNRF 150# ANSI B16.47-API 605 Size 56"</v>
      </c>
      <c r="C128" s="9" t="s">
        <v>39</v>
      </c>
      <c r="D128" s="37" t="s">
        <v>61</v>
      </c>
      <c r="E128" s="9" t="s">
        <v>103</v>
      </c>
      <c r="F128" s="27" t="s">
        <v>104</v>
      </c>
      <c r="G128" s="11">
        <v>1400</v>
      </c>
      <c r="H128" s="12">
        <v>1600.2</v>
      </c>
      <c r="I128" s="12">
        <v>166.6</v>
      </c>
      <c r="J128" s="12">
        <v>73.2</v>
      </c>
      <c r="K128" s="12">
        <v>1492.3</v>
      </c>
      <c r="L128" s="12">
        <v>1543.1</v>
      </c>
      <c r="M128" s="33">
        <v>60</v>
      </c>
      <c r="N128" s="12">
        <v>31.8</v>
      </c>
      <c r="O128" s="12">
        <v>1465.3</v>
      </c>
      <c r="P128" s="13">
        <v>1.6</v>
      </c>
      <c r="Q128" s="12">
        <v>14.2</v>
      </c>
      <c r="R128" s="12">
        <v>7</v>
      </c>
      <c r="S128" s="36">
        <f t="shared" si="7"/>
        <v>213.4</v>
      </c>
      <c r="T128" s="36" t="s">
        <v>79</v>
      </c>
      <c r="U128" s="12">
        <v>22</v>
      </c>
      <c r="V128" s="12">
        <v>323</v>
      </c>
    </row>
    <row r="129" spans="1:22" ht="12.75" customHeight="1" x14ac:dyDescent="0.3">
      <c r="A129" s="2"/>
      <c r="B129" s="23" t="str">
        <f t="shared" si="6"/>
        <v>WNRF 150# ANSI B16.47-API 605 Size 58"</v>
      </c>
      <c r="C129" s="9" t="s">
        <v>39</v>
      </c>
      <c r="D129" s="37" t="s">
        <v>61</v>
      </c>
      <c r="E129" s="9" t="s">
        <v>103</v>
      </c>
      <c r="F129" s="27" t="s">
        <v>105</v>
      </c>
      <c r="G129" s="11">
        <v>1450</v>
      </c>
      <c r="H129" s="12">
        <v>1674.9</v>
      </c>
      <c r="I129" s="12">
        <v>174.8</v>
      </c>
      <c r="J129" s="12">
        <v>74.7</v>
      </c>
      <c r="K129" s="12">
        <v>1543.1</v>
      </c>
      <c r="L129" s="12">
        <v>1611.4</v>
      </c>
      <c r="M129" s="33">
        <v>48</v>
      </c>
      <c r="N129" s="12">
        <v>35.1</v>
      </c>
      <c r="O129" s="12">
        <v>1516.1</v>
      </c>
      <c r="P129" s="13">
        <v>1.6</v>
      </c>
      <c r="Q129" s="12">
        <v>14.2</v>
      </c>
      <c r="R129" s="12">
        <v>7</v>
      </c>
      <c r="S129" s="36">
        <f t="shared" si="7"/>
        <v>224.4</v>
      </c>
      <c r="T129" s="36" t="s">
        <v>43</v>
      </c>
      <c r="U129" s="12">
        <v>26</v>
      </c>
      <c r="V129" s="12">
        <v>384</v>
      </c>
    </row>
    <row r="130" spans="1:22" ht="12.75" customHeight="1" x14ac:dyDescent="0.3">
      <c r="A130" s="2"/>
      <c r="B130" s="23" t="str">
        <f t="shared" si="6"/>
        <v>WNRF 150# ANSI B16.47-API 605 Size 60"</v>
      </c>
      <c r="C130" s="9" t="s">
        <v>39</v>
      </c>
      <c r="D130" s="37" t="s">
        <v>61</v>
      </c>
      <c r="E130" s="9" t="s">
        <v>103</v>
      </c>
      <c r="F130" s="27" t="s">
        <v>60</v>
      </c>
      <c r="G130" s="11">
        <v>1500</v>
      </c>
      <c r="H130" s="12">
        <v>1725.7</v>
      </c>
      <c r="I130" s="12">
        <v>179.3</v>
      </c>
      <c r="J130" s="12">
        <v>76.2</v>
      </c>
      <c r="K130" s="12">
        <v>1600.2</v>
      </c>
      <c r="L130" s="12">
        <v>1662.2</v>
      </c>
      <c r="M130" s="33">
        <v>52</v>
      </c>
      <c r="N130" s="12">
        <v>35.1</v>
      </c>
      <c r="O130" s="12">
        <v>1570</v>
      </c>
      <c r="P130" s="13">
        <v>1.6</v>
      </c>
      <c r="Q130" s="12">
        <v>14.2</v>
      </c>
      <c r="R130" s="12">
        <v>7</v>
      </c>
      <c r="S130" s="36">
        <f t="shared" si="7"/>
        <v>227.4</v>
      </c>
      <c r="T130" s="36" t="s">
        <v>43</v>
      </c>
      <c r="U130" s="12">
        <v>26</v>
      </c>
      <c r="V130" s="12">
        <v>388</v>
      </c>
    </row>
    <row r="131" spans="1:22" ht="12.75" customHeight="1" x14ac:dyDescent="0.3">
      <c r="A131" s="2"/>
      <c r="B131" s="22" t="str">
        <f t="shared" si="6"/>
        <v>WNRF 300# ANSI B16.47-API 605 Size 26"</v>
      </c>
      <c r="C131" s="9" t="s">
        <v>39</v>
      </c>
      <c r="D131" s="37" t="s">
        <v>86</v>
      </c>
      <c r="E131" s="9" t="s">
        <v>103</v>
      </c>
      <c r="F131" s="27" t="s">
        <v>41</v>
      </c>
      <c r="G131" s="11">
        <v>650</v>
      </c>
      <c r="H131" s="12">
        <v>866.6</v>
      </c>
      <c r="I131" s="12">
        <v>144.5</v>
      </c>
      <c r="J131" s="12">
        <v>88.9</v>
      </c>
      <c r="K131" s="12">
        <v>736.6</v>
      </c>
      <c r="L131" s="12">
        <v>803.1</v>
      </c>
      <c r="M131" s="33">
        <v>32</v>
      </c>
      <c r="N131" s="12">
        <v>35.1</v>
      </c>
      <c r="O131" s="12">
        <v>701.5</v>
      </c>
      <c r="P131" s="13">
        <v>1.6</v>
      </c>
      <c r="Q131" s="12">
        <v>14.2</v>
      </c>
      <c r="R131" s="12">
        <v>7</v>
      </c>
      <c r="S131" s="36">
        <f t="shared" si="7"/>
        <v>252.8</v>
      </c>
      <c r="T131" s="36" t="s">
        <v>43</v>
      </c>
      <c r="U131" s="12">
        <v>26</v>
      </c>
      <c r="V131" s="12">
        <v>181</v>
      </c>
    </row>
    <row r="132" spans="1:22" ht="12.75" customHeight="1" x14ac:dyDescent="0.3">
      <c r="A132" s="2"/>
      <c r="B132" s="23" t="str">
        <f t="shared" ref="B132:B177" si="8">CONCATENATE(C132,D132,$C$1,E132,$C$1,$F$1,$C$1,F132)</f>
        <v>WNRF 300# ANSI B16.47-API 605 Size 28"</v>
      </c>
      <c r="C132" s="9" t="s">
        <v>39</v>
      </c>
      <c r="D132" s="37" t="s">
        <v>86</v>
      </c>
      <c r="E132" s="9" t="s">
        <v>103</v>
      </c>
      <c r="F132" s="27" t="s">
        <v>44</v>
      </c>
      <c r="G132" s="11">
        <v>700</v>
      </c>
      <c r="H132" s="12">
        <v>920.8</v>
      </c>
      <c r="I132" s="12">
        <v>149.4</v>
      </c>
      <c r="J132" s="12">
        <v>88.9</v>
      </c>
      <c r="K132" s="12">
        <v>787.4</v>
      </c>
      <c r="L132" s="12">
        <v>857.3</v>
      </c>
      <c r="M132" s="33">
        <v>36</v>
      </c>
      <c r="N132" s="12">
        <v>35.1</v>
      </c>
      <c r="O132" s="12">
        <v>755.7</v>
      </c>
      <c r="P132" s="13">
        <v>1.6</v>
      </c>
      <c r="Q132" s="12">
        <v>14.2</v>
      </c>
      <c r="R132" s="12">
        <v>7</v>
      </c>
      <c r="S132" s="36">
        <f t="shared" si="7"/>
        <v>252.8</v>
      </c>
      <c r="T132" s="36" t="s">
        <v>43</v>
      </c>
      <c r="U132" s="12">
        <v>26</v>
      </c>
      <c r="V132" s="12">
        <v>203</v>
      </c>
    </row>
    <row r="133" spans="1:22" ht="12.75" customHeight="1" x14ac:dyDescent="0.3">
      <c r="A133" s="2"/>
      <c r="B133" s="23" t="str">
        <f t="shared" si="8"/>
        <v>WNRF 300# ANSI B16.47-API 605 Size 30"</v>
      </c>
      <c r="C133" s="9" t="s">
        <v>39</v>
      </c>
      <c r="D133" s="37" t="s">
        <v>86</v>
      </c>
      <c r="E133" s="9" t="s">
        <v>103</v>
      </c>
      <c r="F133" s="27" t="s">
        <v>45</v>
      </c>
      <c r="G133" s="11">
        <v>750</v>
      </c>
      <c r="H133" s="12">
        <v>990.6</v>
      </c>
      <c r="I133" s="12">
        <v>158</v>
      </c>
      <c r="J133" s="12">
        <v>93.7</v>
      </c>
      <c r="K133" s="12">
        <v>844.6</v>
      </c>
      <c r="L133" s="12">
        <v>920.8</v>
      </c>
      <c r="M133" s="33">
        <v>36</v>
      </c>
      <c r="N133" s="12">
        <v>38.1</v>
      </c>
      <c r="O133" s="12">
        <v>812.8</v>
      </c>
      <c r="P133" s="13">
        <v>1.6</v>
      </c>
      <c r="Q133" s="12">
        <v>14.2</v>
      </c>
      <c r="R133" s="12">
        <v>7</v>
      </c>
      <c r="S133" s="36">
        <f t="shared" si="7"/>
        <v>262.39999999999998</v>
      </c>
      <c r="T133" s="36" t="s">
        <v>47</v>
      </c>
      <c r="U133" s="12">
        <v>26</v>
      </c>
      <c r="V133" s="12">
        <v>268</v>
      </c>
    </row>
    <row r="134" spans="1:22" ht="12.75" customHeight="1" x14ac:dyDescent="0.3">
      <c r="A134" s="2"/>
      <c r="B134" s="23" t="str">
        <f t="shared" si="8"/>
        <v>WNRF 300# ANSI B16.47-API 605 Size 32"</v>
      </c>
      <c r="C134" s="9" t="s">
        <v>39</v>
      </c>
      <c r="D134" s="37" t="s">
        <v>86</v>
      </c>
      <c r="E134" s="9" t="s">
        <v>103</v>
      </c>
      <c r="F134" s="27" t="s">
        <v>46</v>
      </c>
      <c r="G134" s="11">
        <v>800</v>
      </c>
      <c r="H134" s="12">
        <v>1054.0999999999999</v>
      </c>
      <c r="I134" s="12">
        <v>168.1</v>
      </c>
      <c r="J134" s="12">
        <v>103.1</v>
      </c>
      <c r="K134" s="12">
        <v>901.7</v>
      </c>
      <c r="L134" s="12">
        <v>977.9</v>
      </c>
      <c r="M134" s="33">
        <v>32</v>
      </c>
      <c r="N134" s="12">
        <v>41.1</v>
      </c>
      <c r="O134" s="12">
        <v>863.6</v>
      </c>
      <c r="P134" s="13">
        <v>1.6</v>
      </c>
      <c r="Q134" s="12">
        <v>15.7</v>
      </c>
      <c r="R134" s="12">
        <v>7</v>
      </c>
      <c r="S134" s="36">
        <f t="shared" si="7"/>
        <v>291.2</v>
      </c>
      <c r="T134" s="36" t="s">
        <v>57</v>
      </c>
      <c r="U134" s="12">
        <v>31</v>
      </c>
      <c r="V134" s="12">
        <v>330</v>
      </c>
    </row>
    <row r="135" spans="1:22" ht="12.75" customHeight="1" x14ac:dyDescent="0.3">
      <c r="A135" s="2"/>
      <c r="B135" s="23" t="str">
        <f t="shared" si="8"/>
        <v>WNRF 300# ANSI B16.47-API 605 Size 34"</v>
      </c>
      <c r="C135" s="9" t="s">
        <v>39</v>
      </c>
      <c r="D135" s="37" t="s">
        <v>86</v>
      </c>
      <c r="E135" s="9" t="s">
        <v>103</v>
      </c>
      <c r="F135" s="27" t="s">
        <v>48</v>
      </c>
      <c r="G135" s="11">
        <v>850</v>
      </c>
      <c r="H135" s="12">
        <v>1107.9000000000001</v>
      </c>
      <c r="I135" s="12">
        <v>173</v>
      </c>
      <c r="J135" s="12">
        <v>103.1</v>
      </c>
      <c r="K135" s="12">
        <v>952.5</v>
      </c>
      <c r="L135" s="12">
        <v>1031.7</v>
      </c>
      <c r="M135" s="33">
        <v>36</v>
      </c>
      <c r="N135" s="12">
        <v>41.1</v>
      </c>
      <c r="O135" s="12">
        <v>917.4</v>
      </c>
      <c r="P135" s="13">
        <v>1.6</v>
      </c>
      <c r="Q135" s="12">
        <v>15.7</v>
      </c>
      <c r="R135" s="12">
        <v>7</v>
      </c>
      <c r="S135" s="36">
        <f t="shared" si="7"/>
        <v>291.2</v>
      </c>
      <c r="T135" s="36" t="s">
        <v>57</v>
      </c>
      <c r="U135" s="12">
        <v>31</v>
      </c>
      <c r="V135" s="12">
        <v>357</v>
      </c>
    </row>
    <row r="136" spans="1:22" ht="12.75" customHeight="1" x14ac:dyDescent="0.3">
      <c r="A136" s="2"/>
      <c r="B136" s="23" t="str">
        <f t="shared" si="8"/>
        <v>WNRF 300# ANSI B16.47-API 605 Size 36"</v>
      </c>
      <c r="C136" s="9" t="s">
        <v>39</v>
      </c>
      <c r="D136" s="37" t="s">
        <v>86</v>
      </c>
      <c r="E136" s="9" t="s">
        <v>103</v>
      </c>
      <c r="F136" s="27" t="s">
        <v>49</v>
      </c>
      <c r="G136" s="11">
        <v>900</v>
      </c>
      <c r="H136" s="12">
        <v>1171.4000000000001</v>
      </c>
      <c r="I136" s="12">
        <v>180.8</v>
      </c>
      <c r="J136" s="12">
        <v>103.1</v>
      </c>
      <c r="K136" s="12">
        <v>1009.7</v>
      </c>
      <c r="L136" s="12">
        <v>1089.2</v>
      </c>
      <c r="M136" s="33">
        <v>32</v>
      </c>
      <c r="N136" s="12">
        <v>44.5</v>
      </c>
      <c r="O136" s="12">
        <v>965.2</v>
      </c>
      <c r="P136" s="13">
        <v>1.6</v>
      </c>
      <c r="Q136" s="12">
        <v>15.7</v>
      </c>
      <c r="R136" s="12">
        <v>7</v>
      </c>
      <c r="S136" s="36">
        <f t="shared" si="7"/>
        <v>297.2</v>
      </c>
      <c r="T136" s="36" t="s">
        <v>87</v>
      </c>
      <c r="U136" s="12">
        <v>34</v>
      </c>
      <c r="V136" s="12">
        <v>405</v>
      </c>
    </row>
    <row r="137" spans="1:22" ht="12.75" customHeight="1" x14ac:dyDescent="0.3">
      <c r="A137" s="2"/>
      <c r="B137" s="23" t="str">
        <f t="shared" si="8"/>
        <v>WNRF 300# ANSI B16.47-API 605 Size 38"</v>
      </c>
      <c r="C137" s="9" t="s">
        <v>39</v>
      </c>
      <c r="D137" s="37" t="s">
        <v>86</v>
      </c>
      <c r="E137" s="9" t="s">
        <v>103</v>
      </c>
      <c r="F137" s="27" t="s">
        <v>50</v>
      </c>
      <c r="G137" s="11">
        <v>950</v>
      </c>
      <c r="H137" s="12">
        <v>1222.2</v>
      </c>
      <c r="I137" s="12">
        <v>192</v>
      </c>
      <c r="J137" s="12">
        <v>111.3</v>
      </c>
      <c r="K137" s="12">
        <v>1060.5</v>
      </c>
      <c r="L137" s="12">
        <v>1140</v>
      </c>
      <c r="M137" s="33">
        <v>36</v>
      </c>
      <c r="N137" s="12">
        <v>44.5</v>
      </c>
      <c r="O137" s="12">
        <v>1016</v>
      </c>
      <c r="P137" s="13">
        <v>1.6</v>
      </c>
      <c r="Q137" s="12">
        <v>15.7</v>
      </c>
      <c r="R137" s="12">
        <v>7</v>
      </c>
      <c r="S137" s="36">
        <f t="shared" si="7"/>
        <v>313.60000000000002</v>
      </c>
      <c r="T137" s="36" t="s">
        <v>87</v>
      </c>
      <c r="U137" s="12">
        <v>34</v>
      </c>
      <c r="V137" s="12">
        <v>416</v>
      </c>
    </row>
    <row r="138" spans="1:22" ht="12.75" customHeight="1" x14ac:dyDescent="0.3">
      <c r="A138" s="2"/>
      <c r="B138" s="23" t="str">
        <f t="shared" si="8"/>
        <v>WNRF 300# ANSI B16.47-API 605 Size 40"</v>
      </c>
      <c r="C138" s="9" t="s">
        <v>39</v>
      </c>
      <c r="D138" s="37" t="s">
        <v>86</v>
      </c>
      <c r="E138" s="9" t="s">
        <v>103</v>
      </c>
      <c r="F138" s="27" t="s">
        <v>51</v>
      </c>
      <c r="G138" s="11">
        <v>1000</v>
      </c>
      <c r="H138" s="12">
        <v>1273</v>
      </c>
      <c r="I138" s="12">
        <v>198.4</v>
      </c>
      <c r="J138" s="12">
        <v>115.8</v>
      </c>
      <c r="K138" s="12">
        <v>1114.5999999999999</v>
      </c>
      <c r="L138" s="12">
        <v>1190.8</v>
      </c>
      <c r="M138" s="33">
        <v>40</v>
      </c>
      <c r="N138" s="12">
        <v>44.5</v>
      </c>
      <c r="O138" s="12">
        <v>1066.8</v>
      </c>
      <c r="P138" s="13">
        <v>1.6</v>
      </c>
      <c r="Q138" s="12">
        <v>15.7</v>
      </c>
      <c r="R138" s="12">
        <v>7</v>
      </c>
      <c r="S138" s="36">
        <f t="shared" si="7"/>
        <v>322.60000000000002</v>
      </c>
      <c r="T138" s="36" t="s">
        <v>87</v>
      </c>
      <c r="U138" s="12">
        <v>34</v>
      </c>
      <c r="V138" s="12">
        <v>450</v>
      </c>
    </row>
    <row r="139" spans="1:22" ht="12.75" customHeight="1" x14ac:dyDescent="0.3">
      <c r="A139" s="2"/>
      <c r="B139" s="23" t="str">
        <f t="shared" si="8"/>
        <v>WNRF 300# ANSI B16.47-API 605 Size 42"</v>
      </c>
      <c r="C139" s="9" t="s">
        <v>39</v>
      </c>
      <c r="D139" s="37" t="s">
        <v>86</v>
      </c>
      <c r="E139" s="9" t="s">
        <v>103</v>
      </c>
      <c r="F139" s="27" t="s">
        <v>52</v>
      </c>
      <c r="G139" s="11">
        <v>1050</v>
      </c>
      <c r="H139" s="12">
        <v>1333.5</v>
      </c>
      <c r="I139" s="12">
        <v>204.7</v>
      </c>
      <c r="J139" s="12">
        <v>119.1</v>
      </c>
      <c r="K139" s="12">
        <v>1168.4000000000001</v>
      </c>
      <c r="L139" s="12">
        <v>1244.5999999999999</v>
      </c>
      <c r="M139" s="33">
        <v>36</v>
      </c>
      <c r="N139" s="12">
        <v>47.8</v>
      </c>
      <c r="O139" s="12">
        <v>1117.5999999999999</v>
      </c>
      <c r="P139" s="13">
        <v>1.6</v>
      </c>
      <c r="Q139" s="12">
        <v>15.7</v>
      </c>
      <c r="R139" s="12">
        <v>7</v>
      </c>
      <c r="S139" s="36">
        <f t="shared" si="7"/>
        <v>333.2</v>
      </c>
      <c r="T139" s="36" t="s">
        <v>88</v>
      </c>
      <c r="U139" s="12">
        <v>36</v>
      </c>
      <c r="V139" s="12">
        <v>502</v>
      </c>
    </row>
    <row r="140" spans="1:22" ht="12.75" customHeight="1" x14ac:dyDescent="0.3">
      <c r="A140" s="2"/>
      <c r="B140" s="23" t="str">
        <f t="shared" si="8"/>
        <v>WNRF 300# ANSI B16.47-API 605 Size 44"</v>
      </c>
      <c r="C140" s="9" t="s">
        <v>39</v>
      </c>
      <c r="D140" s="37" t="s">
        <v>86</v>
      </c>
      <c r="E140" s="9" t="s">
        <v>103</v>
      </c>
      <c r="F140" s="27" t="s">
        <v>53</v>
      </c>
      <c r="G140" s="11">
        <v>1100</v>
      </c>
      <c r="H140" s="12">
        <v>1384.3</v>
      </c>
      <c r="I140" s="12">
        <v>214.4</v>
      </c>
      <c r="J140" s="12">
        <v>127</v>
      </c>
      <c r="K140" s="12">
        <v>1219.2</v>
      </c>
      <c r="L140" s="12">
        <v>1295.4000000000001</v>
      </c>
      <c r="M140" s="33">
        <v>40</v>
      </c>
      <c r="N140" s="12">
        <v>47.8</v>
      </c>
      <c r="O140" s="12">
        <v>1173.2</v>
      </c>
      <c r="P140" s="13">
        <v>1.6</v>
      </c>
      <c r="Q140" s="12">
        <v>15.7</v>
      </c>
      <c r="R140" s="12">
        <v>7</v>
      </c>
      <c r="S140" s="36">
        <f t="shared" si="7"/>
        <v>349</v>
      </c>
      <c r="T140" s="36" t="s">
        <v>88</v>
      </c>
      <c r="U140" s="12">
        <v>36</v>
      </c>
      <c r="V140" s="12">
        <v>552</v>
      </c>
    </row>
    <row r="141" spans="1:22" ht="12.75" customHeight="1" x14ac:dyDescent="0.3">
      <c r="A141" s="2"/>
      <c r="B141" s="23" t="str">
        <f t="shared" si="8"/>
        <v>WNRF 300# ANSI B16.47-API 605 Size 46"</v>
      </c>
      <c r="C141" s="9" t="s">
        <v>39</v>
      </c>
      <c r="D141" s="37" t="s">
        <v>86</v>
      </c>
      <c r="E141" s="9" t="s">
        <v>103</v>
      </c>
      <c r="F141" s="27" t="s">
        <v>54</v>
      </c>
      <c r="G141" s="11">
        <v>1150</v>
      </c>
      <c r="H141" s="12">
        <v>1460.5</v>
      </c>
      <c r="I141" s="12">
        <v>222.3</v>
      </c>
      <c r="J141" s="12">
        <v>128.5</v>
      </c>
      <c r="K141" s="12">
        <v>1270</v>
      </c>
      <c r="L141" s="12">
        <v>1365.3</v>
      </c>
      <c r="M141" s="33">
        <v>36</v>
      </c>
      <c r="N141" s="12">
        <v>50.8</v>
      </c>
      <c r="O141" s="12">
        <v>1228.9000000000001</v>
      </c>
      <c r="P141" s="13">
        <v>1.6</v>
      </c>
      <c r="Q141" s="12">
        <v>15.7</v>
      </c>
      <c r="R141" s="12">
        <v>7</v>
      </c>
      <c r="S141" s="36">
        <f t="shared" si="7"/>
        <v>356</v>
      </c>
      <c r="T141" s="36" t="s">
        <v>89</v>
      </c>
      <c r="U141" s="12">
        <v>38</v>
      </c>
      <c r="V141" s="12">
        <v>650</v>
      </c>
    </row>
    <row r="142" spans="1:22" ht="12.75" customHeight="1" x14ac:dyDescent="0.3">
      <c r="A142" s="2"/>
      <c r="B142" s="23" t="str">
        <f t="shared" si="8"/>
        <v>WNRF 300# ANSI B16.47-API 605 Size 48"</v>
      </c>
      <c r="C142" s="9" t="s">
        <v>39</v>
      </c>
      <c r="D142" s="37" t="s">
        <v>86</v>
      </c>
      <c r="E142" s="9" t="s">
        <v>103</v>
      </c>
      <c r="F142" s="27" t="s">
        <v>55</v>
      </c>
      <c r="G142" s="11">
        <v>1200</v>
      </c>
      <c r="H142" s="12">
        <v>1511.3</v>
      </c>
      <c r="I142" s="12">
        <v>223.8</v>
      </c>
      <c r="J142" s="12">
        <v>128.5</v>
      </c>
      <c r="K142" s="12">
        <v>1327.2</v>
      </c>
      <c r="L142" s="12">
        <v>1416.1</v>
      </c>
      <c r="M142" s="33">
        <v>40</v>
      </c>
      <c r="N142" s="12">
        <v>50.8</v>
      </c>
      <c r="O142" s="12">
        <v>1277.9000000000001</v>
      </c>
      <c r="P142" s="13">
        <v>1.6</v>
      </c>
      <c r="Q142" s="12">
        <v>15.7</v>
      </c>
      <c r="R142" s="12">
        <v>7</v>
      </c>
      <c r="S142" s="36">
        <f t="shared" si="7"/>
        <v>356</v>
      </c>
      <c r="T142" s="36" t="s">
        <v>89</v>
      </c>
      <c r="U142" s="12">
        <v>38</v>
      </c>
      <c r="V142" s="12">
        <v>731</v>
      </c>
    </row>
    <row r="143" spans="1:22" ht="12.75" customHeight="1" x14ac:dyDescent="0.3">
      <c r="A143" s="2"/>
      <c r="B143" s="23" t="str">
        <f t="shared" si="8"/>
        <v>WNRF 300# ANSI B16.47-API 605 Size 50"</v>
      </c>
      <c r="C143" s="9" t="s">
        <v>39</v>
      </c>
      <c r="D143" s="37" t="s">
        <v>86</v>
      </c>
      <c r="E143" s="9" t="s">
        <v>103</v>
      </c>
      <c r="F143" s="27" t="s">
        <v>56</v>
      </c>
      <c r="G143" s="11">
        <v>1250</v>
      </c>
      <c r="H143" s="12">
        <v>1562.1</v>
      </c>
      <c r="I143" s="12">
        <v>235</v>
      </c>
      <c r="J143" s="12">
        <v>138.19999999999999</v>
      </c>
      <c r="K143" s="12">
        <v>1378</v>
      </c>
      <c r="L143" s="12">
        <v>1466.9</v>
      </c>
      <c r="M143" s="33">
        <v>44</v>
      </c>
      <c r="N143" s="12">
        <v>50.8</v>
      </c>
      <c r="O143" s="12">
        <v>1330.5</v>
      </c>
      <c r="P143" s="13">
        <v>1.6</v>
      </c>
      <c r="Q143" s="12">
        <v>15.7</v>
      </c>
      <c r="R143" s="12">
        <v>7</v>
      </c>
      <c r="S143" s="36">
        <f t="shared" si="7"/>
        <v>375.4</v>
      </c>
      <c r="T143" s="36" t="s">
        <v>89</v>
      </c>
      <c r="U143" s="12">
        <v>38</v>
      </c>
      <c r="V143" s="12">
        <v>760</v>
      </c>
    </row>
    <row r="144" spans="1:22" ht="12.75" customHeight="1" x14ac:dyDescent="0.3">
      <c r="A144" s="2"/>
      <c r="B144" s="23" t="str">
        <f t="shared" si="8"/>
        <v>WNRF 300# ANSI B16.47-API 605 Size 52"</v>
      </c>
      <c r="C144" s="9" t="s">
        <v>39</v>
      </c>
      <c r="D144" s="37" t="s">
        <v>86</v>
      </c>
      <c r="E144" s="9" t="s">
        <v>103</v>
      </c>
      <c r="F144" s="27" t="s">
        <v>58</v>
      </c>
      <c r="G144" s="11">
        <v>1300</v>
      </c>
      <c r="H144" s="12">
        <v>1612.9</v>
      </c>
      <c r="I144" s="12">
        <v>242.8</v>
      </c>
      <c r="J144" s="12">
        <v>142.69999999999999</v>
      </c>
      <c r="K144" s="12">
        <v>1428.8</v>
      </c>
      <c r="L144" s="12">
        <v>1517.7</v>
      </c>
      <c r="M144" s="33">
        <v>48</v>
      </c>
      <c r="N144" s="12">
        <v>50.8</v>
      </c>
      <c r="O144" s="12">
        <v>1382.8</v>
      </c>
      <c r="P144" s="13">
        <v>1.6</v>
      </c>
      <c r="Q144" s="12">
        <v>15.7</v>
      </c>
      <c r="R144" s="12">
        <v>7</v>
      </c>
      <c r="S144" s="36">
        <f t="shared" si="7"/>
        <v>384.4</v>
      </c>
      <c r="T144" s="36" t="s">
        <v>89</v>
      </c>
      <c r="U144" s="12">
        <v>38</v>
      </c>
      <c r="V144" s="12">
        <v>800</v>
      </c>
    </row>
    <row r="145" spans="1:22" ht="12.75" customHeight="1" x14ac:dyDescent="0.3">
      <c r="A145" s="2"/>
      <c r="B145" s="23" t="str">
        <f t="shared" si="8"/>
        <v>WNRF 300# ANSI B16.47-API 605 Size 54"</v>
      </c>
      <c r="C145" s="9" t="s">
        <v>39</v>
      </c>
      <c r="D145" s="37" t="s">
        <v>86</v>
      </c>
      <c r="E145" s="9" t="s">
        <v>103</v>
      </c>
      <c r="F145" s="27" t="s">
        <v>59</v>
      </c>
      <c r="G145" s="11">
        <v>1350</v>
      </c>
      <c r="H145" s="12">
        <v>1673.4</v>
      </c>
      <c r="I145" s="12">
        <v>239.8</v>
      </c>
      <c r="J145" s="12">
        <v>136.69999999999999</v>
      </c>
      <c r="K145" s="12">
        <v>1479.6</v>
      </c>
      <c r="L145" s="12">
        <v>1577.8</v>
      </c>
      <c r="M145" s="33">
        <v>48</v>
      </c>
      <c r="N145" s="12">
        <v>50.8</v>
      </c>
      <c r="O145" s="12">
        <v>1435.1</v>
      </c>
      <c r="P145" s="13">
        <v>1.6</v>
      </c>
      <c r="Q145" s="12">
        <v>15.7</v>
      </c>
      <c r="R145" s="12">
        <v>7</v>
      </c>
      <c r="S145" s="36">
        <f t="shared" si="7"/>
        <v>372.4</v>
      </c>
      <c r="T145" s="36" t="s">
        <v>89</v>
      </c>
      <c r="U145" s="12">
        <v>38</v>
      </c>
      <c r="V145" s="12">
        <v>898</v>
      </c>
    </row>
    <row r="146" spans="1:22" ht="12.75" customHeight="1" x14ac:dyDescent="0.3">
      <c r="A146" s="2"/>
      <c r="B146" s="23" t="str">
        <f t="shared" si="8"/>
        <v>WNRF 300# ANSI B16.47-API 605 Size 56"</v>
      </c>
      <c r="C146" s="9" t="s">
        <v>39</v>
      </c>
      <c r="D146" s="37" t="s">
        <v>86</v>
      </c>
      <c r="E146" s="9" t="s">
        <v>103</v>
      </c>
      <c r="F146" s="27" t="s">
        <v>104</v>
      </c>
      <c r="G146" s="11">
        <v>1400</v>
      </c>
      <c r="H146" s="12">
        <v>1765.3</v>
      </c>
      <c r="I146" s="12">
        <v>268.2</v>
      </c>
      <c r="J146" s="12">
        <v>153.9</v>
      </c>
      <c r="K146" s="12">
        <v>1536.7</v>
      </c>
      <c r="L146" s="12">
        <v>1651</v>
      </c>
      <c r="M146" s="33">
        <v>36</v>
      </c>
      <c r="N146" s="12">
        <v>60.5</v>
      </c>
      <c r="O146" s="12">
        <v>1493.8</v>
      </c>
      <c r="P146" s="13">
        <v>1.6</v>
      </c>
      <c r="Q146" s="12">
        <v>17.5</v>
      </c>
      <c r="R146" s="12">
        <v>7</v>
      </c>
      <c r="S146" s="36">
        <f t="shared" si="7"/>
        <v>420.8</v>
      </c>
      <c r="T146" s="36" t="s">
        <v>93</v>
      </c>
      <c r="U146" s="12">
        <v>45</v>
      </c>
      <c r="V146" s="12">
        <v>1143</v>
      </c>
    </row>
    <row r="147" spans="1:22" ht="12.75" customHeight="1" x14ac:dyDescent="0.3">
      <c r="A147" s="2"/>
      <c r="B147" s="23" t="str">
        <f t="shared" si="8"/>
        <v>WNRF 300# ANSI B16.47-API 605 Size 58"</v>
      </c>
      <c r="C147" s="9" t="s">
        <v>39</v>
      </c>
      <c r="D147" s="37" t="s">
        <v>86</v>
      </c>
      <c r="E147" s="9" t="s">
        <v>103</v>
      </c>
      <c r="F147" s="27" t="s">
        <v>105</v>
      </c>
      <c r="G147" s="11">
        <v>1450</v>
      </c>
      <c r="H147" s="12">
        <v>1827.3</v>
      </c>
      <c r="I147" s="12">
        <v>274.60000000000002</v>
      </c>
      <c r="J147" s="12">
        <v>153.9</v>
      </c>
      <c r="K147" s="12">
        <v>1593.9</v>
      </c>
      <c r="L147" s="12">
        <v>1713</v>
      </c>
      <c r="M147" s="33">
        <v>40</v>
      </c>
      <c r="N147" s="12">
        <v>60.5</v>
      </c>
      <c r="O147" s="12">
        <v>1547.9</v>
      </c>
      <c r="P147" s="13">
        <v>1.6</v>
      </c>
      <c r="Q147" s="12">
        <v>17.5</v>
      </c>
      <c r="R147" s="12">
        <v>7</v>
      </c>
      <c r="S147" s="36">
        <f t="shared" si="7"/>
        <v>420.8</v>
      </c>
      <c r="T147" s="36" t="s">
        <v>93</v>
      </c>
      <c r="U147" s="12">
        <v>45</v>
      </c>
      <c r="V147" s="12">
        <v>1217</v>
      </c>
    </row>
    <row r="148" spans="1:22" ht="12.75" customHeight="1" x14ac:dyDescent="0.3">
      <c r="A148" s="2"/>
      <c r="B148" s="23" t="str">
        <f t="shared" si="8"/>
        <v>WNRF 300# ANSI B16.47-API 605 Size 60"</v>
      </c>
      <c r="C148" s="9" t="s">
        <v>39</v>
      </c>
      <c r="D148" s="37" t="s">
        <v>86</v>
      </c>
      <c r="E148" s="9" t="s">
        <v>103</v>
      </c>
      <c r="F148" s="27" t="s">
        <v>60</v>
      </c>
      <c r="G148" s="11">
        <v>1500</v>
      </c>
      <c r="H148" s="12">
        <v>1878.1</v>
      </c>
      <c r="I148" s="12">
        <v>271.5</v>
      </c>
      <c r="J148" s="12">
        <v>150.9</v>
      </c>
      <c r="K148" s="12">
        <v>1651</v>
      </c>
      <c r="L148" s="12">
        <v>1763.8</v>
      </c>
      <c r="M148" s="33">
        <v>40</v>
      </c>
      <c r="N148" s="12">
        <v>60.5</v>
      </c>
      <c r="O148" s="12">
        <v>1598.7</v>
      </c>
      <c r="P148" s="13">
        <v>1.6</v>
      </c>
      <c r="Q148" s="12">
        <v>17.5</v>
      </c>
      <c r="R148" s="12">
        <v>7</v>
      </c>
      <c r="S148" s="36">
        <f t="shared" si="7"/>
        <v>414.8</v>
      </c>
      <c r="T148" s="36" t="s">
        <v>93</v>
      </c>
      <c r="U148" s="12">
        <v>45</v>
      </c>
      <c r="V148" s="12">
        <v>1311</v>
      </c>
    </row>
    <row r="149" spans="1:22" ht="12.75" customHeight="1" x14ac:dyDescent="0.3">
      <c r="A149" s="2"/>
      <c r="B149" s="22" t="str">
        <f t="shared" si="8"/>
        <v>WNRF 600# ANSI B16.47-API 605 Size 26"</v>
      </c>
      <c r="C149" s="9" t="s">
        <v>39</v>
      </c>
      <c r="D149" s="37" t="s">
        <v>92</v>
      </c>
      <c r="E149" s="9" t="s">
        <v>103</v>
      </c>
      <c r="F149" s="27" t="s">
        <v>41</v>
      </c>
      <c r="G149" s="11">
        <v>650</v>
      </c>
      <c r="H149" s="12">
        <v>889</v>
      </c>
      <c r="I149" s="12">
        <v>187.2</v>
      </c>
      <c r="J149" s="12">
        <v>117.7</v>
      </c>
      <c r="K149" s="14">
        <v>726.9</v>
      </c>
      <c r="L149" s="14">
        <v>806.5</v>
      </c>
      <c r="M149" s="33">
        <v>28</v>
      </c>
      <c r="N149" s="12">
        <v>44.5</v>
      </c>
      <c r="O149" s="12">
        <v>698.5</v>
      </c>
      <c r="P149" s="13">
        <v>6.4</v>
      </c>
      <c r="Q149" s="12">
        <v>12.7</v>
      </c>
      <c r="R149" s="12">
        <v>7</v>
      </c>
      <c r="S149" s="36">
        <f t="shared" ref="S149:S195" si="9">(J149+U149+8)*2+R149</f>
        <v>326.39999999999998</v>
      </c>
      <c r="T149" s="36" t="s">
        <v>87</v>
      </c>
      <c r="U149" s="12">
        <v>34</v>
      </c>
      <c r="V149" s="12">
        <v>267</v>
      </c>
    </row>
    <row r="150" spans="1:22" ht="12.75" customHeight="1" x14ac:dyDescent="0.3">
      <c r="A150" s="2"/>
      <c r="B150" s="23" t="str">
        <f t="shared" si="8"/>
        <v>WNRF 600# ANSI B16.47-API 605 Size 28"</v>
      </c>
      <c r="C150" s="9" t="s">
        <v>39</v>
      </c>
      <c r="D150" s="37" t="s">
        <v>92</v>
      </c>
      <c r="E150" s="9" t="s">
        <v>103</v>
      </c>
      <c r="F150" s="27" t="s">
        <v>44</v>
      </c>
      <c r="G150" s="11">
        <v>700</v>
      </c>
      <c r="H150" s="12">
        <v>952.5</v>
      </c>
      <c r="I150" s="12">
        <v>196.9</v>
      </c>
      <c r="J150" s="12">
        <v>122.2</v>
      </c>
      <c r="K150" s="14">
        <v>784.4</v>
      </c>
      <c r="L150" s="14">
        <v>863.6</v>
      </c>
      <c r="M150" s="33">
        <v>28</v>
      </c>
      <c r="N150" s="12">
        <v>47.8</v>
      </c>
      <c r="O150" s="12">
        <v>752.3</v>
      </c>
      <c r="P150" s="13">
        <v>6.4</v>
      </c>
      <c r="Q150" s="12">
        <v>12.7</v>
      </c>
      <c r="R150" s="12">
        <v>7</v>
      </c>
      <c r="S150" s="36">
        <f t="shared" si="9"/>
        <v>339.4</v>
      </c>
      <c r="T150" s="36" t="s">
        <v>88</v>
      </c>
      <c r="U150" s="12">
        <v>36</v>
      </c>
      <c r="V150" s="12">
        <v>326</v>
      </c>
    </row>
    <row r="151" spans="1:22" ht="12.75" customHeight="1" x14ac:dyDescent="0.3">
      <c r="A151" s="2"/>
      <c r="B151" s="23" t="str">
        <f t="shared" si="8"/>
        <v>WNRF 600# ANSI B16.47-API 605 Size 30"</v>
      </c>
      <c r="C151" s="9" t="s">
        <v>39</v>
      </c>
      <c r="D151" s="37" t="s">
        <v>92</v>
      </c>
      <c r="E151" s="9" t="s">
        <v>103</v>
      </c>
      <c r="F151" s="27" t="s">
        <v>45</v>
      </c>
      <c r="G151" s="11">
        <v>750</v>
      </c>
      <c r="H151" s="12">
        <v>1022.4</v>
      </c>
      <c r="I151" s="12">
        <v>211.1</v>
      </c>
      <c r="J151" s="12">
        <v>131.9</v>
      </c>
      <c r="K151" s="14">
        <v>841.2</v>
      </c>
      <c r="L151" s="14">
        <v>927.1</v>
      </c>
      <c r="M151" s="33">
        <v>28</v>
      </c>
      <c r="N151" s="12">
        <v>50.8</v>
      </c>
      <c r="O151" s="12">
        <v>806.5</v>
      </c>
      <c r="P151" s="13">
        <v>6.4</v>
      </c>
      <c r="Q151" s="12">
        <v>12.7</v>
      </c>
      <c r="R151" s="12">
        <v>7</v>
      </c>
      <c r="S151" s="36">
        <f t="shared" si="9"/>
        <v>362.8</v>
      </c>
      <c r="T151" s="36" t="s">
        <v>89</v>
      </c>
      <c r="U151" s="12">
        <v>38</v>
      </c>
      <c r="V151" s="12">
        <v>402</v>
      </c>
    </row>
    <row r="152" spans="1:22" ht="12.75" customHeight="1" x14ac:dyDescent="0.3">
      <c r="A152" s="2"/>
      <c r="B152" s="23" t="str">
        <f t="shared" si="8"/>
        <v>WNRF 600# ANSI B16.47-API 605 Size 32"</v>
      </c>
      <c r="C152" s="9" t="s">
        <v>39</v>
      </c>
      <c r="D152" s="37" t="s">
        <v>92</v>
      </c>
      <c r="E152" s="9" t="s">
        <v>103</v>
      </c>
      <c r="F152" s="27" t="s">
        <v>46</v>
      </c>
      <c r="G152" s="11">
        <v>800</v>
      </c>
      <c r="H152" s="12">
        <v>1085.9000000000001</v>
      </c>
      <c r="I152" s="12">
        <v>222.3</v>
      </c>
      <c r="J152" s="12">
        <v>136.4</v>
      </c>
      <c r="K152" s="14">
        <v>895.4</v>
      </c>
      <c r="L152" s="14">
        <v>984.3</v>
      </c>
      <c r="M152" s="33">
        <v>28</v>
      </c>
      <c r="N152" s="12">
        <v>53.8</v>
      </c>
      <c r="O152" s="12">
        <v>860.6</v>
      </c>
      <c r="P152" s="13">
        <v>6.4</v>
      </c>
      <c r="Q152" s="12">
        <v>12.7</v>
      </c>
      <c r="R152" s="12">
        <v>7</v>
      </c>
      <c r="S152" s="36">
        <f t="shared" si="9"/>
        <v>371.8</v>
      </c>
      <c r="T152" s="36" t="s">
        <v>89</v>
      </c>
      <c r="U152" s="12">
        <v>38</v>
      </c>
      <c r="V152" s="12">
        <v>462</v>
      </c>
    </row>
    <row r="153" spans="1:22" ht="12.75" customHeight="1" x14ac:dyDescent="0.3">
      <c r="A153" s="2"/>
      <c r="B153" s="23" t="str">
        <f t="shared" si="8"/>
        <v>WNRF 600# ANSI B16.47-API 605 Size 34"</v>
      </c>
      <c r="C153" s="9" t="s">
        <v>39</v>
      </c>
      <c r="D153" s="37" t="s">
        <v>92</v>
      </c>
      <c r="E153" s="9" t="s">
        <v>103</v>
      </c>
      <c r="F153" s="27" t="s">
        <v>48</v>
      </c>
      <c r="G153" s="11">
        <v>850</v>
      </c>
      <c r="H153" s="12">
        <v>1162.0999999999999</v>
      </c>
      <c r="I153" s="12">
        <v>239.8</v>
      </c>
      <c r="J153" s="12">
        <v>147.6</v>
      </c>
      <c r="K153" s="14">
        <v>952.5</v>
      </c>
      <c r="L153" s="14">
        <v>1054.0999999999999</v>
      </c>
      <c r="M153" s="33">
        <v>24</v>
      </c>
      <c r="N153" s="12">
        <v>60.5</v>
      </c>
      <c r="O153" s="12">
        <v>914.4</v>
      </c>
      <c r="P153" s="13">
        <v>6.4</v>
      </c>
      <c r="Q153" s="12">
        <v>14.2</v>
      </c>
      <c r="R153" s="12">
        <v>7</v>
      </c>
      <c r="S153" s="36">
        <f t="shared" si="9"/>
        <v>408.2</v>
      </c>
      <c r="T153" s="36" t="s">
        <v>93</v>
      </c>
      <c r="U153" s="12">
        <v>45</v>
      </c>
      <c r="V153" s="12">
        <v>582</v>
      </c>
    </row>
    <row r="154" spans="1:22" ht="12.75" customHeight="1" x14ac:dyDescent="0.3">
      <c r="A154" s="2"/>
      <c r="B154" s="23" t="str">
        <f t="shared" si="8"/>
        <v>WNRF 600# ANSI B16.47-API 605 Size 36"</v>
      </c>
      <c r="C154" s="9" t="s">
        <v>39</v>
      </c>
      <c r="D154" s="37" t="s">
        <v>92</v>
      </c>
      <c r="E154" s="9" t="s">
        <v>103</v>
      </c>
      <c r="F154" s="27" t="s">
        <v>49</v>
      </c>
      <c r="G154" s="11">
        <v>900</v>
      </c>
      <c r="H154" s="12">
        <v>1212.9000000000001</v>
      </c>
      <c r="I154" s="12">
        <v>249.2</v>
      </c>
      <c r="J154" s="12">
        <v>152.5</v>
      </c>
      <c r="K154" s="14">
        <v>1009.7</v>
      </c>
      <c r="L154" s="14">
        <v>1104.9000000000001</v>
      </c>
      <c r="M154" s="33">
        <v>28</v>
      </c>
      <c r="N154" s="12">
        <v>60.5</v>
      </c>
      <c r="O154" s="12">
        <v>968.2</v>
      </c>
      <c r="P154" s="13">
        <v>6.4</v>
      </c>
      <c r="Q154" s="12">
        <v>14.2</v>
      </c>
      <c r="R154" s="12">
        <v>7</v>
      </c>
      <c r="S154" s="36">
        <f t="shared" si="9"/>
        <v>418</v>
      </c>
      <c r="T154" s="36" t="s">
        <v>93</v>
      </c>
      <c r="U154" s="12">
        <v>45</v>
      </c>
      <c r="V154" s="12">
        <v>627</v>
      </c>
    </row>
    <row r="155" spans="1:22" ht="12.75" customHeight="1" x14ac:dyDescent="0.3">
      <c r="A155" s="2"/>
      <c r="B155" s="23" t="str">
        <f t="shared" si="8"/>
        <v>WNRF 600# ANSI B16.47-API 605 Size 38"</v>
      </c>
      <c r="C155" s="9" t="s">
        <v>39</v>
      </c>
      <c r="D155" s="37" t="s">
        <v>92</v>
      </c>
      <c r="E155" s="9" t="s">
        <v>103</v>
      </c>
      <c r="F155" s="27" t="s">
        <v>50</v>
      </c>
      <c r="G155" s="11">
        <v>950</v>
      </c>
      <c r="H155" s="12">
        <v>1270</v>
      </c>
      <c r="I155" s="12">
        <v>260.39999999999998</v>
      </c>
      <c r="J155" s="12">
        <v>158.80000000000001</v>
      </c>
      <c r="K155" s="14">
        <v>1054.0999999999999</v>
      </c>
      <c r="L155" s="14">
        <v>1162.0999999999999</v>
      </c>
      <c r="M155" s="33">
        <v>28</v>
      </c>
      <c r="N155" s="12">
        <v>60.5</v>
      </c>
      <c r="O155" s="12">
        <v>1022.4</v>
      </c>
      <c r="P155" s="13">
        <v>6.4</v>
      </c>
      <c r="Q155" s="12">
        <v>14.2</v>
      </c>
      <c r="R155" s="12">
        <v>7</v>
      </c>
      <c r="S155" s="36">
        <f t="shared" si="9"/>
        <v>430.6</v>
      </c>
      <c r="T155" s="36" t="s">
        <v>93</v>
      </c>
      <c r="U155" s="12">
        <v>45</v>
      </c>
      <c r="V155" s="12">
        <v>707</v>
      </c>
    </row>
    <row r="156" spans="1:22" ht="12.75" customHeight="1" x14ac:dyDescent="0.3">
      <c r="A156" s="2"/>
      <c r="B156" s="23" t="str">
        <f t="shared" si="8"/>
        <v>WNRF 600# ANSI B16.47-API 605 Size 40"</v>
      </c>
      <c r="C156" s="9" t="s">
        <v>39</v>
      </c>
      <c r="D156" s="37" t="s">
        <v>92</v>
      </c>
      <c r="E156" s="9" t="s">
        <v>103</v>
      </c>
      <c r="F156" s="27" t="s">
        <v>51</v>
      </c>
      <c r="G156" s="11">
        <v>1000</v>
      </c>
      <c r="H156" s="12">
        <v>1320.8</v>
      </c>
      <c r="I156" s="12">
        <v>270.10000000000002</v>
      </c>
      <c r="J156" s="12">
        <v>165.2</v>
      </c>
      <c r="K156" s="14">
        <v>111.3</v>
      </c>
      <c r="L156" s="14">
        <v>1212.9000000000001</v>
      </c>
      <c r="M156" s="33">
        <v>32</v>
      </c>
      <c r="N156" s="12">
        <v>60.5</v>
      </c>
      <c r="O156" s="12">
        <v>1073.2</v>
      </c>
      <c r="P156" s="13">
        <v>6.4</v>
      </c>
      <c r="Q156" s="12">
        <v>14.2</v>
      </c>
      <c r="R156" s="12">
        <v>7</v>
      </c>
      <c r="S156" s="36">
        <f t="shared" si="9"/>
        <v>443.4</v>
      </c>
      <c r="T156" s="36" t="s">
        <v>93</v>
      </c>
      <c r="U156" s="12">
        <v>45</v>
      </c>
      <c r="V156" s="12">
        <v>762</v>
      </c>
    </row>
    <row r="157" spans="1:22" ht="12.75" customHeight="1" x14ac:dyDescent="0.3">
      <c r="A157" s="2"/>
      <c r="B157" s="23" t="str">
        <f t="shared" si="8"/>
        <v>WNRF 600# ANSI B16.47-API 605 Size 42"</v>
      </c>
      <c r="C157" s="9" t="s">
        <v>39</v>
      </c>
      <c r="D157" s="37" t="s">
        <v>92</v>
      </c>
      <c r="E157" s="9" t="s">
        <v>103</v>
      </c>
      <c r="F157" s="27" t="s">
        <v>52</v>
      </c>
      <c r="G157" s="11">
        <v>1050</v>
      </c>
      <c r="H157" s="12">
        <v>1403.4</v>
      </c>
      <c r="I157" s="12">
        <v>285.8</v>
      </c>
      <c r="J157" s="12">
        <v>174.5</v>
      </c>
      <c r="K157" s="14">
        <v>1168.4000000000001</v>
      </c>
      <c r="L157" s="14">
        <v>1282.7</v>
      </c>
      <c r="M157" s="33">
        <v>28</v>
      </c>
      <c r="N157" s="12">
        <v>66.5</v>
      </c>
      <c r="O157" s="12">
        <v>1127.3</v>
      </c>
      <c r="P157" s="13">
        <v>6.4</v>
      </c>
      <c r="Q157" s="12">
        <v>14.2</v>
      </c>
      <c r="R157" s="12">
        <v>7</v>
      </c>
      <c r="S157" s="36">
        <f t="shared" si="9"/>
        <v>468</v>
      </c>
      <c r="T157" s="36" t="s">
        <v>98</v>
      </c>
      <c r="U157" s="12">
        <v>48</v>
      </c>
      <c r="V157" s="12">
        <v>928</v>
      </c>
    </row>
    <row r="158" spans="1:22" ht="12.75" customHeight="1" x14ac:dyDescent="0.3">
      <c r="A158" s="2"/>
      <c r="B158" s="23" t="str">
        <f t="shared" si="8"/>
        <v>WNRF 600# ANSI B16.47-API 605 Size 44"</v>
      </c>
      <c r="C158" s="9" t="s">
        <v>39</v>
      </c>
      <c r="D158" s="37" t="s">
        <v>92</v>
      </c>
      <c r="E158" s="9" t="s">
        <v>103</v>
      </c>
      <c r="F158" s="27" t="s">
        <v>53</v>
      </c>
      <c r="G158" s="11">
        <v>1100</v>
      </c>
      <c r="H158" s="12">
        <v>1454.2</v>
      </c>
      <c r="I158" s="12">
        <v>295.5</v>
      </c>
      <c r="J158" s="12">
        <v>179.4</v>
      </c>
      <c r="K158" s="14">
        <v>1225.5999999999999</v>
      </c>
      <c r="L158" s="14">
        <v>1333.5</v>
      </c>
      <c r="M158" s="33">
        <v>32</v>
      </c>
      <c r="N158" s="12">
        <v>66.5</v>
      </c>
      <c r="O158" s="12">
        <v>1181.0999999999999</v>
      </c>
      <c r="P158" s="13">
        <v>6.4</v>
      </c>
      <c r="Q158" s="12">
        <v>14.2</v>
      </c>
      <c r="R158" s="12">
        <v>7</v>
      </c>
      <c r="S158" s="36">
        <f t="shared" si="9"/>
        <v>477.8</v>
      </c>
      <c r="T158" s="36" t="s">
        <v>98</v>
      </c>
      <c r="U158" s="12">
        <v>48</v>
      </c>
      <c r="V158" s="12">
        <v>992</v>
      </c>
    </row>
    <row r="159" spans="1:22" ht="12.75" customHeight="1" x14ac:dyDescent="0.3">
      <c r="A159" s="2"/>
      <c r="B159" s="23" t="str">
        <f t="shared" si="8"/>
        <v>WNRF 600# ANSI B16.47-API 605 Size 46"</v>
      </c>
      <c r="C159" s="9" t="s">
        <v>39</v>
      </c>
      <c r="D159" s="37" t="s">
        <v>92</v>
      </c>
      <c r="E159" s="9" t="s">
        <v>103</v>
      </c>
      <c r="F159" s="27" t="s">
        <v>54</v>
      </c>
      <c r="G159" s="11">
        <v>1150</v>
      </c>
      <c r="H159" s="12">
        <v>1511.3</v>
      </c>
      <c r="I159" s="12">
        <v>306.39999999999998</v>
      </c>
      <c r="J159" s="12">
        <v>185.7</v>
      </c>
      <c r="K159" s="14">
        <v>1276.4000000000001</v>
      </c>
      <c r="L159" s="14">
        <v>1390.7</v>
      </c>
      <c r="M159" s="33">
        <v>32</v>
      </c>
      <c r="N159" s="12">
        <v>66.5</v>
      </c>
      <c r="O159" s="12">
        <v>1234.9000000000001</v>
      </c>
      <c r="P159" s="13">
        <v>6.4</v>
      </c>
      <c r="Q159" s="12">
        <v>14.2</v>
      </c>
      <c r="R159" s="12">
        <v>7</v>
      </c>
      <c r="S159" s="36">
        <f t="shared" si="9"/>
        <v>490.4</v>
      </c>
      <c r="T159" s="36" t="s">
        <v>98</v>
      </c>
      <c r="U159" s="12">
        <v>48</v>
      </c>
      <c r="V159" s="12">
        <v>1100</v>
      </c>
    </row>
    <row r="160" spans="1:22" ht="12.75" customHeight="1" x14ac:dyDescent="0.3">
      <c r="A160" s="2"/>
      <c r="B160" s="23" t="str">
        <f t="shared" si="8"/>
        <v>WNRF 600# ANSI B16.47-API 605 Size 48"</v>
      </c>
      <c r="C160" s="9" t="s">
        <v>39</v>
      </c>
      <c r="D160" s="37" t="s">
        <v>92</v>
      </c>
      <c r="E160" s="9" t="s">
        <v>103</v>
      </c>
      <c r="F160" s="27" t="s">
        <v>55</v>
      </c>
      <c r="G160" s="11">
        <v>1200</v>
      </c>
      <c r="H160" s="12">
        <v>1593.9</v>
      </c>
      <c r="I160" s="12">
        <v>322.39999999999998</v>
      </c>
      <c r="J160" s="12">
        <v>195.4</v>
      </c>
      <c r="K160" s="14">
        <v>1333.5</v>
      </c>
      <c r="L160" s="14">
        <v>1460.5</v>
      </c>
      <c r="M160" s="33">
        <v>32</v>
      </c>
      <c r="N160" s="12">
        <v>73.2</v>
      </c>
      <c r="O160" s="12">
        <v>1289.0999999999999</v>
      </c>
      <c r="P160" s="13">
        <v>6.4</v>
      </c>
      <c r="Q160" s="12">
        <v>14.2</v>
      </c>
      <c r="R160" s="12">
        <v>7</v>
      </c>
      <c r="S160" s="36">
        <f t="shared" si="9"/>
        <v>521.79999999999995</v>
      </c>
      <c r="T160" s="36" t="s">
        <v>95</v>
      </c>
      <c r="U160" s="12">
        <v>54</v>
      </c>
      <c r="V160" s="12">
        <v>1299</v>
      </c>
    </row>
    <row r="161" spans="1:22" ht="12.75" customHeight="1" x14ac:dyDescent="0.3">
      <c r="A161" s="2"/>
      <c r="B161" s="23" t="str">
        <f t="shared" si="8"/>
        <v>WNRF 600# ANSI B16.47-API 605 Size 50"</v>
      </c>
      <c r="C161" s="9" t="s">
        <v>39</v>
      </c>
      <c r="D161" s="37" t="s">
        <v>92</v>
      </c>
      <c r="E161" s="9" t="s">
        <v>103</v>
      </c>
      <c r="F161" s="27" t="s">
        <v>56</v>
      </c>
      <c r="G161" s="11">
        <v>1250</v>
      </c>
      <c r="H161" s="12">
        <v>1671.1</v>
      </c>
      <c r="I161" s="12">
        <v>335.1</v>
      </c>
      <c r="J161" s="12">
        <v>203.3</v>
      </c>
      <c r="K161" s="14">
        <v>1384.3</v>
      </c>
      <c r="L161" s="14">
        <v>1524</v>
      </c>
      <c r="M161" s="33">
        <v>28</v>
      </c>
      <c r="N161" s="12">
        <v>79.2</v>
      </c>
      <c r="O161" s="12">
        <v>1343.2</v>
      </c>
      <c r="P161" s="13">
        <v>6.4</v>
      </c>
      <c r="Q161" s="12">
        <v>14.2</v>
      </c>
      <c r="R161" s="12">
        <v>7</v>
      </c>
      <c r="S161" s="36">
        <f t="shared" si="9"/>
        <v>545.6</v>
      </c>
      <c r="T161" s="36" t="s">
        <v>106</v>
      </c>
      <c r="U161" s="12">
        <v>58</v>
      </c>
      <c r="V161" s="12">
        <v>1524</v>
      </c>
    </row>
    <row r="162" spans="1:22" ht="12.75" customHeight="1" x14ac:dyDescent="0.3">
      <c r="A162" s="2"/>
      <c r="B162" s="23" t="str">
        <f t="shared" si="8"/>
        <v>WNRF 600# ANSI B16.47-API 605 Size 52"</v>
      </c>
      <c r="C162" s="9" t="s">
        <v>39</v>
      </c>
      <c r="D162" s="37" t="s">
        <v>92</v>
      </c>
      <c r="E162" s="9" t="s">
        <v>103</v>
      </c>
      <c r="F162" s="27" t="s">
        <v>58</v>
      </c>
      <c r="G162" s="11">
        <v>1300</v>
      </c>
      <c r="H162" s="12">
        <v>1720.9</v>
      </c>
      <c r="I162" s="12">
        <v>343</v>
      </c>
      <c r="J162" s="12">
        <v>209.6</v>
      </c>
      <c r="K162" s="14">
        <v>1435.1</v>
      </c>
      <c r="L162" s="14">
        <v>1574.8</v>
      </c>
      <c r="M162" s="33">
        <v>32</v>
      </c>
      <c r="N162" s="12">
        <v>79.2</v>
      </c>
      <c r="O162" s="12">
        <v>1394</v>
      </c>
      <c r="P162" s="13">
        <v>6.4</v>
      </c>
      <c r="Q162" s="12">
        <v>14.2</v>
      </c>
      <c r="R162" s="12">
        <v>7</v>
      </c>
      <c r="S162" s="36">
        <f t="shared" si="9"/>
        <v>558.20000000000005</v>
      </c>
      <c r="T162" s="36" t="s">
        <v>106</v>
      </c>
      <c r="U162" s="12">
        <v>58</v>
      </c>
      <c r="V162" s="12">
        <v>1585</v>
      </c>
    </row>
    <row r="163" spans="1:22" ht="12.75" customHeight="1" x14ac:dyDescent="0.3">
      <c r="A163" s="2"/>
      <c r="B163" s="23" t="str">
        <f t="shared" si="8"/>
        <v>WNRF 600# ANSI B16.47-API 605 Size 54"</v>
      </c>
      <c r="C163" s="9" t="s">
        <v>39</v>
      </c>
      <c r="D163" s="37" t="s">
        <v>92</v>
      </c>
      <c r="E163" s="9" t="s">
        <v>103</v>
      </c>
      <c r="F163" s="27" t="s">
        <v>59</v>
      </c>
      <c r="G163" s="11">
        <v>1350</v>
      </c>
      <c r="H163" s="12">
        <v>1778</v>
      </c>
      <c r="I163" s="12">
        <v>355.7</v>
      </c>
      <c r="J163" s="12">
        <v>216</v>
      </c>
      <c r="K163" s="14">
        <v>1492.3</v>
      </c>
      <c r="L163" s="14">
        <v>1632</v>
      </c>
      <c r="M163" s="33">
        <v>32</v>
      </c>
      <c r="N163" s="12">
        <v>79.2</v>
      </c>
      <c r="O163" s="12">
        <v>1447.8</v>
      </c>
      <c r="P163" s="13">
        <v>6.4</v>
      </c>
      <c r="Q163" s="12">
        <v>14.2</v>
      </c>
      <c r="R163" s="12">
        <v>7</v>
      </c>
      <c r="S163" s="36">
        <f t="shared" si="9"/>
        <v>571</v>
      </c>
      <c r="T163" s="36" t="s">
        <v>106</v>
      </c>
      <c r="U163" s="12">
        <v>58</v>
      </c>
      <c r="V163" s="12">
        <v>1735</v>
      </c>
    </row>
    <row r="164" spans="1:22" ht="12.75" customHeight="1" x14ac:dyDescent="0.3">
      <c r="A164" s="2"/>
      <c r="B164" s="23" t="str">
        <f t="shared" si="8"/>
        <v>WNRF 600# ANSI B16.47-API 605 Size 56"</v>
      </c>
      <c r="C164" s="9" t="s">
        <v>39</v>
      </c>
      <c r="D164" s="37" t="s">
        <v>92</v>
      </c>
      <c r="E164" s="9" t="s">
        <v>103</v>
      </c>
      <c r="F164" s="27" t="s">
        <v>104</v>
      </c>
      <c r="G164" s="11">
        <v>1400</v>
      </c>
      <c r="H164" s="12">
        <v>1854.2</v>
      </c>
      <c r="I164" s="12">
        <v>368.4</v>
      </c>
      <c r="J164" s="12">
        <v>223.8</v>
      </c>
      <c r="K164" s="14">
        <v>1543.1</v>
      </c>
      <c r="L164" s="14">
        <v>1695.5</v>
      </c>
      <c r="M164" s="33">
        <v>32</v>
      </c>
      <c r="N164" s="12">
        <v>85.9</v>
      </c>
      <c r="O164" s="12">
        <v>1501.6</v>
      </c>
      <c r="P164" s="13">
        <v>6.4</v>
      </c>
      <c r="Q164" s="12">
        <v>15.7</v>
      </c>
      <c r="R164" s="12">
        <v>7</v>
      </c>
      <c r="S164" s="36">
        <f t="shared" si="9"/>
        <v>598.6</v>
      </c>
      <c r="T164" s="36" t="s">
        <v>100</v>
      </c>
      <c r="U164" s="12">
        <v>64</v>
      </c>
      <c r="V164" s="12">
        <v>1952</v>
      </c>
    </row>
    <row r="165" spans="1:22" ht="12.75" customHeight="1" x14ac:dyDescent="0.3">
      <c r="A165" s="2"/>
      <c r="B165" s="23" t="str">
        <f t="shared" si="8"/>
        <v>WNRF 600# ANSI B16.47-API 605 Size 58"</v>
      </c>
      <c r="C165" s="9" t="s">
        <v>39</v>
      </c>
      <c r="D165" s="37" t="s">
        <v>92</v>
      </c>
      <c r="E165" s="9" t="s">
        <v>103</v>
      </c>
      <c r="F165" s="27" t="s">
        <v>105</v>
      </c>
      <c r="G165" s="11">
        <v>1450</v>
      </c>
      <c r="H165" s="12">
        <v>1905</v>
      </c>
      <c r="I165" s="12">
        <v>376.2</v>
      </c>
      <c r="J165" s="12">
        <v>228.7</v>
      </c>
      <c r="K165" s="14">
        <v>1600.2</v>
      </c>
      <c r="L165" s="14">
        <v>1746.3</v>
      </c>
      <c r="M165" s="33">
        <v>32</v>
      </c>
      <c r="N165" s="12">
        <v>85.9</v>
      </c>
      <c r="O165" s="12">
        <v>1552.4</v>
      </c>
      <c r="P165" s="13">
        <v>6.4</v>
      </c>
      <c r="Q165" s="12">
        <v>15.7</v>
      </c>
      <c r="R165" s="12">
        <v>7</v>
      </c>
      <c r="S165" s="36">
        <f t="shared" si="9"/>
        <v>608.4</v>
      </c>
      <c r="T165" s="36" t="s">
        <v>100</v>
      </c>
      <c r="U165" s="12">
        <v>64</v>
      </c>
      <c r="V165" s="12">
        <v>2069</v>
      </c>
    </row>
    <row r="166" spans="1:22" ht="12.75" customHeight="1" x14ac:dyDescent="0.3">
      <c r="A166" s="2"/>
      <c r="B166" s="23" t="str">
        <f t="shared" si="8"/>
        <v>WNRF 600# ANSI B16.47-API 605 Size 60"</v>
      </c>
      <c r="C166" s="9" t="s">
        <v>39</v>
      </c>
      <c r="D166" s="37" t="s">
        <v>92</v>
      </c>
      <c r="E166" s="9" t="s">
        <v>103</v>
      </c>
      <c r="F166" s="27" t="s">
        <v>60</v>
      </c>
      <c r="G166" s="11">
        <v>1500</v>
      </c>
      <c r="H166" s="12">
        <v>1993.9</v>
      </c>
      <c r="I166" s="12">
        <v>395.3</v>
      </c>
      <c r="J166" s="12">
        <v>239.8</v>
      </c>
      <c r="K166" s="14">
        <v>1657.4</v>
      </c>
      <c r="L166" s="14">
        <v>1822.5</v>
      </c>
      <c r="M166" s="33">
        <v>28</v>
      </c>
      <c r="N166" s="12">
        <v>91.9</v>
      </c>
      <c r="O166" s="12">
        <v>1609.9</v>
      </c>
      <c r="P166" s="13">
        <v>6.4</v>
      </c>
      <c r="Q166" s="12">
        <v>17.5</v>
      </c>
      <c r="R166" s="12">
        <v>7</v>
      </c>
      <c r="S166" s="36">
        <f t="shared" si="9"/>
        <v>638.6</v>
      </c>
      <c r="T166" s="36" t="s">
        <v>107</v>
      </c>
      <c r="U166" s="12">
        <v>68</v>
      </c>
      <c r="V166" s="12">
        <v>2474</v>
      </c>
    </row>
    <row r="167" spans="1:22" ht="12.75" customHeight="1" x14ac:dyDescent="0.3">
      <c r="A167" s="2"/>
      <c r="B167" s="22" t="str">
        <f t="shared" si="8"/>
        <v>WNRF 900# ANSI B16.47-API 605 Size 26"</v>
      </c>
      <c r="C167" s="9" t="s">
        <v>39</v>
      </c>
      <c r="D167" s="37" t="s">
        <v>96</v>
      </c>
      <c r="E167" s="9" t="s">
        <v>103</v>
      </c>
      <c r="F167" s="27" t="s">
        <v>41</v>
      </c>
      <c r="G167" s="11">
        <v>650</v>
      </c>
      <c r="H167" s="12">
        <v>1022.4</v>
      </c>
      <c r="I167" s="12">
        <v>265.2</v>
      </c>
      <c r="J167" s="12">
        <v>141.30000000000001</v>
      </c>
      <c r="K167" s="13">
        <v>762</v>
      </c>
      <c r="L167" s="10">
        <v>901.7</v>
      </c>
      <c r="M167" s="33">
        <v>20</v>
      </c>
      <c r="N167" s="12">
        <v>66.5</v>
      </c>
      <c r="O167" s="12">
        <v>743</v>
      </c>
      <c r="P167" s="13">
        <v>6.4</v>
      </c>
      <c r="Q167" s="12">
        <v>11.2</v>
      </c>
      <c r="R167" s="12">
        <v>7</v>
      </c>
      <c r="S167" s="36">
        <f t="shared" si="9"/>
        <v>401.6</v>
      </c>
      <c r="T167" s="36" t="s">
        <v>98</v>
      </c>
      <c r="U167" s="13">
        <v>48</v>
      </c>
      <c r="V167" s="12">
        <v>564</v>
      </c>
    </row>
    <row r="168" spans="1:22" ht="12.75" customHeight="1" x14ac:dyDescent="0.3">
      <c r="A168" s="2"/>
      <c r="B168" s="23" t="str">
        <f t="shared" si="8"/>
        <v>WNRF 900# ANSI B16.47-API 605 Size 28"</v>
      </c>
      <c r="C168" s="9" t="s">
        <v>39</v>
      </c>
      <c r="D168" s="37" t="s">
        <v>96</v>
      </c>
      <c r="E168" s="9" t="s">
        <v>103</v>
      </c>
      <c r="F168" s="27" t="s">
        <v>44</v>
      </c>
      <c r="G168" s="11">
        <v>700</v>
      </c>
      <c r="H168" s="12">
        <v>1104.9000000000001</v>
      </c>
      <c r="I168" s="12">
        <v>267.5</v>
      </c>
      <c r="J168" s="12">
        <v>154</v>
      </c>
      <c r="K168" s="13">
        <v>819.2</v>
      </c>
      <c r="L168" s="10">
        <v>971.6</v>
      </c>
      <c r="M168" s="33">
        <v>20</v>
      </c>
      <c r="N168" s="12">
        <v>73.2</v>
      </c>
      <c r="O168" s="12">
        <v>797.1</v>
      </c>
      <c r="P168" s="13">
        <v>6.4</v>
      </c>
      <c r="Q168" s="12">
        <v>12.7</v>
      </c>
      <c r="R168" s="12">
        <v>7</v>
      </c>
      <c r="S168" s="36">
        <f t="shared" si="9"/>
        <v>439</v>
      </c>
      <c r="T168" s="36" t="s">
        <v>95</v>
      </c>
      <c r="U168" s="12">
        <v>54</v>
      </c>
      <c r="V168" s="12">
        <v>706</v>
      </c>
    </row>
    <row r="169" spans="1:22" ht="12.75" customHeight="1" x14ac:dyDescent="0.3">
      <c r="A169" s="2"/>
      <c r="B169" s="23" t="str">
        <f t="shared" si="8"/>
        <v>WNRF 900# ANSI B16.47-API 605 Size 30"</v>
      </c>
      <c r="C169" s="9" t="s">
        <v>39</v>
      </c>
      <c r="D169" s="37" t="s">
        <v>96</v>
      </c>
      <c r="E169" s="9" t="s">
        <v>103</v>
      </c>
      <c r="F169" s="27" t="s">
        <v>45</v>
      </c>
      <c r="G169" s="11">
        <v>750</v>
      </c>
      <c r="H169" s="12">
        <v>1181.0999999999999</v>
      </c>
      <c r="I169" s="12">
        <v>295.5</v>
      </c>
      <c r="J169" s="12">
        <v>161.80000000000001</v>
      </c>
      <c r="K169" s="13">
        <v>876.3</v>
      </c>
      <c r="L169" s="10">
        <v>1035.0999999999999</v>
      </c>
      <c r="M169" s="33">
        <v>20</v>
      </c>
      <c r="N169" s="12">
        <v>79.2</v>
      </c>
      <c r="O169" s="12">
        <v>850.9</v>
      </c>
      <c r="P169" s="13">
        <v>6.4</v>
      </c>
      <c r="Q169" s="12">
        <v>12.7</v>
      </c>
      <c r="R169" s="12">
        <v>7</v>
      </c>
      <c r="S169" s="36">
        <f t="shared" si="9"/>
        <v>462.6</v>
      </c>
      <c r="T169" s="36" t="s">
        <v>106</v>
      </c>
      <c r="U169" s="12">
        <v>58</v>
      </c>
      <c r="V169" s="12">
        <v>833</v>
      </c>
    </row>
    <row r="170" spans="1:22" ht="12.75" customHeight="1" x14ac:dyDescent="0.3">
      <c r="A170" s="2"/>
      <c r="B170" s="23" t="str">
        <f t="shared" si="8"/>
        <v>WNRF 900# ANSI B16.47-API 605 Size 32"</v>
      </c>
      <c r="C170" s="9" t="s">
        <v>39</v>
      </c>
      <c r="D170" s="37" t="s">
        <v>96</v>
      </c>
      <c r="E170" s="9" t="s">
        <v>103</v>
      </c>
      <c r="F170" s="27" t="s">
        <v>46</v>
      </c>
      <c r="G170" s="11">
        <v>800</v>
      </c>
      <c r="H170" s="12">
        <v>1238.3</v>
      </c>
      <c r="I170" s="12">
        <v>309.7</v>
      </c>
      <c r="J170" s="12">
        <v>166.7</v>
      </c>
      <c r="K170" s="13">
        <v>927.1</v>
      </c>
      <c r="L170" s="10">
        <v>1092.2</v>
      </c>
      <c r="M170" s="33">
        <v>20</v>
      </c>
      <c r="N170" s="12">
        <v>79.2</v>
      </c>
      <c r="O170" s="12">
        <v>908.1</v>
      </c>
      <c r="P170" s="13">
        <v>6.4</v>
      </c>
      <c r="Q170" s="12">
        <v>12.7</v>
      </c>
      <c r="R170" s="12">
        <v>7</v>
      </c>
      <c r="S170" s="36">
        <f t="shared" si="9"/>
        <v>472.4</v>
      </c>
      <c r="T170" s="36" t="s">
        <v>106</v>
      </c>
      <c r="U170" s="12">
        <v>58</v>
      </c>
      <c r="V170" s="12">
        <v>919</v>
      </c>
    </row>
    <row r="171" spans="1:22" ht="12.75" customHeight="1" x14ac:dyDescent="0.3">
      <c r="A171" s="2"/>
      <c r="B171" s="23" t="str">
        <f t="shared" si="8"/>
        <v>WNRF 900# ANSI B16.47-API 605 Size 34"</v>
      </c>
      <c r="C171" s="9" t="s">
        <v>39</v>
      </c>
      <c r="D171" s="37" t="s">
        <v>96</v>
      </c>
      <c r="E171" s="9" t="s">
        <v>103</v>
      </c>
      <c r="F171" s="27" t="s">
        <v>48</v>
      </c>
      <c r="G171" s="11">
        <v>850</v>
      </c>
      <c r="H171" s="12">
        <v>1314.5</v>
      </c>
      <c r="I171" s="12">
        <v>325.39999999999998</v>
      </c>
      <c r="J171" s="12">
        <v>177.9</v>
      </c>
      <c r="K171" s="13">
        <v>990.6</v>
      </c>
      <c r="L171" s="10">
        <v>1155.7</v>
      </c>
      <c r="M171" s="33">
        <v>20</v>
      </c>
      <c r="N171" s="12">
        <v>85.9</v>
      </c>
      <c r="O171" s="12">
        <v>962.2</v>
      </c>
      <c r="P171" s="13">
        <v>6.4</v>
      </c>
      <c r="Q171" s="12">
        <v>14.2</v>
      </c>
      <c r="R171" s="12">
        <v>7</v>
      </c>
      <c r="S171" s="36">
        <f t="shared" si="9"/>
        <v>506.8</v>
      </c>
      <c r="T171" s="36" t="s">
        <v>100</v>
      </c>
      <c r="U171" s="12">
        <v>64</v>
      </c>
      <c r="V171" s="12">
        <v>1105</v>
      </c>
    </row>
    <row r="172" spans="1:22" ht="12.75" customHeight="1" x14ac:dyDescent="0.3">
      <c r="A172" s="2"/>
      <c r="B172" s="23" t="str">
        <f t="shared" si="8"/>
        <v>WNRF 900# ANSI B16.47-API 605 Size 36"</v>
      </c>
      <c r="C172" s="9" t="s">
        <v>39</v>
      </c>
      <c r="D172" s="37" t="s">
        <v>96</v>
      </c>
      <c r="E172" s="9" t="s">
        <v>103</v>
      </c>
      <c r="F172" s="27" t="s">
        <v>49</v>
      </c>
      <c r="G172" s="11">
        <v>900</v>
      </c>
      <c r="H172" s="12">
        <v>1346.2</v>
      </c>
      <c r="I172" s="12">
        <v>331.8</v>
      </c>
      <c r="J172" s="12">
        <v>179.4</v>
      </c>
      <c r="K172" s="13">
        <v>1028.7</v>
      </c>
      <c r="L172" s="10">
        <v>1200.2</v>
      </c>
      <c r="M172" s="33">
        <v>24</v>
      </c>
      <c r="N172" s="12">
        <v>79.2</v>
      </c>
      <c r="O172" s="12">
        <v>1016</v>
      </c>
      <c r="P172" s="13">
        <v>6.4</v>
      </c>
      <c r="Q172" s="12">
        <v>14.2</v>
      </c>
      <c r="R172" s="12">
        <v>7</v>
      </c>
      <c r="S172" s="36">
        <f t="shared" si="9"/>
        <v>497.8</v>
      </c>
      <c r="T172" s="36" t="s">
        <v>106</v>
      </c>
      <c r="U172" s="12">
        <v>58</v>
      </c>
      <c r="V172" s="12">
        <v>1124</v>
      </c>
    </row>
    <row r="173" spans="1:22" ht="12.75" customHeight="1" x14ac:dyDescent="0.3">
      <c r="A173" s="2"/>
      <c r="B173" s="23" t="str">
        <f t="shared" si="8"/>
        <v>WNRF 900# ANSI B16.47-API 605 Size 38"</v>
      </c>
      <c r="C173" s="9" t="s">
        <v>39</v>
      </c>
      <c r="D173" s="37" t="s">
        <v>96</v>
      </c>
      <c r="E173" s="9" t="s">
        <v>103</v>
      </c>
      <c r="F173" s="27" t="s">
        <v>50</v>
      </c>
      <c r="G173" s="11">
        <v>950</v>
      </c>
      <c r="H173" s="12">
        <v>1460.5</v>
      </c>
      <c r="I173" s="12">
        <v>359</v>
      </c>
      <c r="J173" s="12">
        <v>196.9</v>
      </c>
      <c r="K173" s="13">
        <v>1098.5999999999999</v>
      </c>
      <c r="L173" s="10">
        <v>1289.0999999999999</v>
      </c>
      <c r="M173" s="33">
        <v>20</v>
      </c>
      <c r="N173" s="12">
        <v>91.9</v>
      </c>
      <c r="O173" s="12">
        <v>1022.4</v>
      </c>
      <c r="P173" s="13">
        <v>6.4</v>
      </c>
      <c r="Q173" s="12">
        <v>19.100000000000001</v>
      </c>
      <c r="R173" s="12">
        <v>7</v>
      </c>
      <c r="S173" s="36">
        <f t="shared" si="9"/>
        <v>552.79999999999995</v>
      </c>
      <c r="T173" s="36" t="s">
        <v>107</v>
      </c>
      <c r="U173" s="12">
        <v>68</v>
      </c>
      <c r="V173" s="12">
        <v>1495</v>
      </c>
    </row>
    <row r="174" spans="1:22" ht="12.75" customHeight="1" x14ac:dyDescent="0.3">
      <c r="A174" s="2"/>
      <c r="B174" s="23" t="str">
        <f t="shared" si="8"/>
        <v>WNRF 900# ANSI B16.47-API 605 Size 40"</v>
      </c>
      <c r="C174" s="9" t="s">
        <v>39</v>
      </c>
      <c r="D174" s="37" t="s">
        <v>96</v>
      </c>
      <c r="E174" s="9" t="s">
        <v>103</v>
      </c>
      <c r="F174" s="27" t="s">
        <v>51</v>
      </c>
      <c r="G174" s="11">
        <v>1000</v>
      </c>
      <c r="H174" s="12">
        <v>1511.3</v>
      </c>
      <c r="I174" s="12">
        <v>369.9</v>
      </c>
      <c r="J174" s="12">
        <v>203.3</v>
      </c>
      <c r="K174" s="13">
        <v>1162.0999999999999</v>
      </c>
      <c r="L174" s="10">
        <v>1339.9</v>
      </c>
      <c r="M174" s="33">
        <v>24</v>
      </c>
      <c r="N174" s="12">
        <v>91.9</v>
      </c>
      <c r="O174" s="12">
        <v>1127.3</v>
      </c>
      <c r="P174" s="13">
        <v>6.4</v>
      </c>
      <c r="Q174" s="12">
        <v>20.6</v>
      </c>
      <c r="R174" s="12">
        <v>7</v>
      </c>
      <c r="S174" s="36">
        <f t="shared" si="9"/>
        <v>565.6</v>
      </c>
      <c r="T174" s="36" t="s">
        <v>107</v>
      </c>
      <c r="U174" s="12">
        <v>68</v>
      </c>
      <c r="V174" s="12">
        <v>1584</v>
      </c>
    </row>
    <row r="175" spans="1:22" ht="12.75" customHeight="1" x14ac:dyDescent="0.3">
      <c r="A175" s="2"/>
      <c r="B175" s="23" t="str">
        <f t="shared" si="8"/>
        <v>WNRF 900# ANSI B16.47-API 605 Size 42"</v>
      </c>
      <c r="C175" s="9" t="s">
        <v>39</v>
      </c>
      <c r="D175" s="37" t="s">
        <v>96</v>
      </c>
      <c r="E175" s="9" t="s">
        <v>103</v>
      </c>
      <c r="F175" s="27" t="s">
        <v>52</v>
      </c>
      <c r="G175" s="11">
        <v>1050</v>
      </c>
      <c r="H175" s="12">
        <v>1562.1</v>
      </c>
      <c r="I175" s="12">
        <v>377.7</v>
      </c>
      <c r="J175" s="12">
        <v>212.6</v>
      </c>
      <c r="K175" s="13">
        <v>1212.9000000000001</v>
      </c>
      <c r="L175" s="10">
        <v>1390.7</v>
      </c>
      <c r="M175" s="33">
        <v>24</v>
      </c>
      <c r="N175" s="12">
        <v>91.9</v>
      </c>
      <c r="O175" s="12">
        <v>1176.3</v>
      </c>
      <c r="P175" s="13">
        <v>6.4</v>
      </c>
      <c r="Q175" s="12">
        <v>20.6</v>
      </c>
      <c r="R175" s="12">
        <v>7</v>
      </c>
      <c r="S175" s="36">
        <f t="shared" si="9"/>
        <v>584.20000000000005</v>
      </c>
      <c r="T175" s="36" t="s">
        <v>107</v>
      </c>
      <c r="U175" s="12">
        <v>68</v>
      </c>
      <c r="V175" s="12">
        <v>1718</v>
      </c>
    </row>
    <row r="176" spans="1:22" ht="12.75" customHeight="1" x14ac:dyDescent="0.3">
      <c r="A176" s="2"/>
      <c r="B176" s="23" t="str">
        <f t="shared" si="8"/>
        <v>WNRF 900# ANSI B16.47-API 605 Size 44"</v>
      </c>
      <c r="C176" s="9" t="s">
        <v>39</v>
      </c>
      <c r="D176" s="37" t="s">
        <v>96</v>
      </c>
      <c r="E176" s="9" t="s">
        <v>103</v>
      </c>
      <c r="F176" s="27" t="s">
        <v>53</v>
      </c>
      <c r="G176" s="11">
        <v>1100</v>
      </c>
      <c r="H176" s="12">
        <v>1648</v>
      </c>
      <c r="I176" s="12">
        <v>397.1</v>
      </c>
      <c r="J176" s="12">
        <v>220.8</v>
      </c>
      <c r="K176" s="13">
        <v>1270</v>
      </c>
      <c r="L176" s="10">
        <v>1463.5</v>
      </c>
      <c r="M176" s="33">
        <v>24</v>
      </c>
      <c r="N176" s="12">
        <v>98.6</v>
      </c>
      <c r="O176" s="12">
        <v>1234.9000000000001</v>
      </c>
      <c r="P176" s="13">
        <v>6.4</v>
      </c>
      <c r="Q176" s="12">
        <v>22.4</v>
      </c>
      <c r="R176" s="12">
        <v>7</v>
      </c>
      <c r="S176" s="36">
        <f t="shared" si="9"/>
        <v>608.6</v>
      </c>
      <c r="T176" s="36" t="s">
        <v>108</v>
      </c>
      <c r="U176" s="12">
        <v>72</v>
      </c>
      <c r="V176" s="12">
        <v>2006</v>
      </c>
    </row>
    <row r="177" spans="1:22" ht="12.75" customHeight="1" x14ac:dyDescent="0.3">
      <c r="A177" s="2"/>
      <c r="B177" s="23" t="str">
        <f t="shared" si="8"/>
        <v>WNRF 900# ANSI B16.47-API 605 Size 46"</v>
      </c>
      <c r="C177" s="9" t="s">
        <v>39</v>
      </c>
      <c r="D177" s="37" t="s">
        <v>96</v>
      </c>
      <c r="E177" s="9" t="s">
        <v>103</v>
      </c>
      <c r="F177" s="27" t="s">
        <v>54</v>
      </c>
      <c r="G177" s="11">
        <v>1150</v>
      </c>
      <c r="H177" s="12">
        <v>1733.6</v>
      </c>
      <c r="I177" s="12">
        <v>417.6</v>
      </c>
      <c r="J177" s="12">
        <v>232</v>
      </c>
      <c r="K177" s="13">
        <v>1333.5</v>
      </c>
      <c r="L177" s="10">
        <v>1536.7</v>
      </c>
      <c r="M177" s="33">
        <v>24</v>
      </c>
      <c r="N177" s="12">
        <v>104.6</v>
      </c>
      <c r="O177" s="12">
        <v>1292.4000000000001</v>
      </c>
      <c r="P177" s="13">
        <v>6.4</v>
      </c>
      <c r="Q177" s="12">
        <v>22.4</v>
      </c>
      <c r="R177" s="12">
        <v>7</v>
      </c>
      <c r="S177" s="36">
        <f t="shared" si="9"/>
        <v>639</v>
      </c>
      <c r="T177" s="36" t="s">
        <v>109</v>
      </c>
      <c r="U177" s="12">
        <v>76</v>
      </c>
      <c r="V177" s="12">
        <v>2337</v>
      </c>
    </row>
    <row r="178" spans="1:22" ht="12.75" customHeight="1" x14ac:dyDescent="0.3">
      <c r="A178" s="2"/>
      <c r="B178" s="23" t="str">
        <f t="shared" ref="B178:B241" si="10">CONCATENATE(C178,D178,$C$1,E178,$C$1,$F$1,$C$1,F178)</f>
        <v>WNRF 900# ANSI B16.47-API 605 Size 48"</v>
      </c>
      <c r="C178" s="9" t="s">
        <v>39</v>
      </c>
      <c r="D178" s="37" t="s">
        <v>96</v>
      </c>
      <c r="E178" s="9" t="s">
        <v>103</v>
      </c>
      <c r="F178" s="27" t="s">
        <v>55</v>
      </c>
      <c r="G178" s="11">
        <v>1200</v>
      </c>
      <c r="H178" s="12">
        <v>1784.4</v>
      </c>
      <c r="I178" s="12">
        <v>425.5</v>
      </c>
      <c r="J178" s="12">
        <v>239.8</v>
      </c>
      <c r="K178" s="13">
        <v>1384.3</v>
      </c>
      <c r="L178" s="10">
        <v>1587.5</v>
      </c>
      <c r="M178" s="33">
        <v>24</v>
      </c>
      <c r="N178" s="12">
        <v>104.6</v>
      </c>
      <c r="O178" s="12">
        <v>1343.2</v>
      </c>
      <c r="P178" s="13">
        <v>6.4</v>
      </c>
      <c r="Q178" s="12">
        <v>23.9</v>
      </c>
      <c r="R178" s="12">
        <v>7</v>
      </c>
      <c r="S178" s="36">
        <f t="shared" si="9"/>
        <v>654.6</v>
      </c>
      <c r="T178" s="36" t="s">
        <v>109</v>
      </c>
      <c r="U178" s="12">
        <v>76</v>
      </c>
      <c r="V178" s="12">
        <v>2509</v>
      </c>
    </row>
    <row r="179" spans="1:22" ht="12.75" customHeight="1" x14ac:dyDescent="0.3">
      <c r="A179" s="2"/>
      <c r="B179" s="22" t="str">
        <f t="shared" si="10"/>
        <v>WNRF 150# ANSI B16.47-MSS SP-44 Size 12"</v>
      </c>
      <c r="C179" s="9" t="s">
        <v>39</v>
      </c>
      <c r="D179" s="37" t="s">
        <v>61</v>
      </c>
      <c r="E179" s="9" t="s">
        <v>110</v>
      </c>
      <c r="F179" s="27" t="s">
        <v>77</v>
      </c>
      <c r="G179" s="11">
        <v>300</v>
      </c>
      <c r="H179" s="12">
        <v>482.6</v>
      </c>
      <c r="I179" s="12">
        <v>114.3</v>
      </c>
      <c r="J179" s="12">
        <v>31.8</v>
      </c>
      <c r="K179" s="12">
        <v>381</v>
      </c>
      <c r="L179" s="12">
        <v>431.8</v>
      </c>
      <c r="M179" s="33">
        <v>12</v>
      </c>
      <c r="N179" s="12">
        <v>25.4</v>
      </c>
      <c r="O179" s="12">
        <v>365.3</v>
      </c>
      <c r="P179" s="13">
        <v>1.6</v>
      </c>
      <c r="Q179" s="12">
        <v>9.6999999999999993</v>
      </c>
      <c r="R179" s="12">
        <v>6</v>
      </c>
      <c r="S179" s="36">
        <f t="shared" si="9"/>
        <v>121.6</v>
      </c>
      <c r="T179" s="36" t="s">
        <v>102</v>
      </c>
      <c r="U179" s="12">
        <v>18</v>
      </c>
      <c r="V179" s="12">
        <v>43</v>
      </c>
    </row>
    <row r="180" spans="1:22" ht="12.75" customHeight="1" x14ac:dyDescent="0.3">
      <c r="A180" s="2"/>
      <c r="B180" s="23" t="str">
        <f t="shared" si="10"/>
        <v>WNRF 150# ANSI B16.47-MSS SP-44 Size 14"</v>
      </c>
      <c r="C180" s="9" t="s">
        <v>39</v>
      </c>
      <c r="D180" s="37" t="s">
        <v>61</v>
      </c>
      <c r="E180" s="9" t="s">
        <v>110</v>
      </c>
      <c r="F180" s="27" t="s">
        <v>78</v>
      </c>
      <c r="G180" s="11">
        <v>350</v>
      </c>
      <c r="H180" s="12">
        <v>533.4</v>
      </c>
      <c r="I180" s="12">
        <v>127</v>
      </c>
      <c r="J180" s="12">
        <v>35.1</v>
      </c>
      <c r="K180" s="12">
        <v>412.8</v>
      </c>
      <c r="L180" s="12">
        <v>476.3</v>
      </c>
      <c r="M180" s="33">
        <v>12</v>
      </c>
      <c r="N180" s="12">
        <v>28.4</v>
      </c>
      <c r="O180" s="12">
        <v>400.1</v>
      </c>
      <c r="P180" s="13">
        <v>1.6</v>
      </c>
      <c r="Q180" s="12">
        <v>9.6999999999999993</v>
      </c>
      <c r="R180" s="12">
        <v>7</v>
      </c>
      <c r="S180" s="36">
        <f t="shared" si="9"/>
        <v>131.19999999999999</v>
      </c>
      <c r="T180" s="36" t="s">
        <v>76</v>
      </c>
      <c r="U180" s="12">
        <v>19</v>
      </c>
      <c r="V180" s="12">
        <v>58</v>
      </c>
    </row>
    <row r="181" spans="1:22" ht="12.75" customHeight="1" x14ac:dyDescent="0.3">
      <c r="A181" s="2"/>
      <c r="B181" s="23" t="str">
        <f t="shared" si="10"/>
        <v>WNRF 150# ANSI B16.47-MSS SP-44 Size 16"</v>
      </c>
      <c r="C181" s="9" t="s">
        <v>39</v>
      </c>
      <c r="D181" s="37" t="s">
        <v>61</v>
      </c>
      <c r="E181" s="9" t="s">
        <v>110</v>
      </c>
      <c r="F181" s="27" t="s">
        <v>80</v>
      </c>
      <c r="G181" s="11">
        <v>400</v>
      </c>
      <c r="H181" s="12">
        <v>596.9</v>
      </c>
      <c r="I181" s="12">
        <v>127</v>
      </c>
      <c r="J181" s="12">
        <v>36.6</v>
      </c>
      <c r="K181" s="12">
        <v>469.9</v>
      </c>
      <c r="L181" s="12">
        <v>539.79999999999995</v>
      </c>
      <c r="M181" s="33">
        <v>16</v>
      </c>
      <c r="N181" s="12">
        <v>28.4</v>
      </c>
      <c r="O181" s="12">
        <v>457.2</v>
      </c>
      <c r="P181" s="13">
        <v>1.6</v>
      </c>
      <c r="Q181" s="12">
        <v>9.6999999999999993</v>
      </c>
      <c r="R181" s="12">
        <v>7</v>
      </c>
      <c r="S181" s="36">
        <f t="shared" si="9"/>
        <v>134.19999999999999</v>
      </c>
      <c r="T181" s="36" t="s">
        <v>76</v>
      </c>
      <c r="U181" s="12">
        <v>19</v>
      </c>
      <c r="V181" s="12">
        <v>76</v>
      </c>
    </row>
    <row r="182" spans="1:22" ht="12.75" customHeight="1" x14ac:dyDescent="0.3">
      <c r="A182" s="2"/>
      <c r="B182" s="23" t="str">
        <f t="shared" si="10"/>
        <v>WNRF 150# ANSI B16.47-MSS SP-44 Size 18"</v>
      </c>
      <c r="C182" s="9" t="s">
        <v>39</v>
      </c>
      <c r="D182" s="37" t="s">
        <v>61</v>
      </c>
      <c r="E182" s="9" t="s">
        <v>110</v>
      </c>
      <c r="F182" s="27" t="s">
        <v>81</v>
      </c>
      <c r="G182" s="11">
        <v>450</v>
      </c>
      <c r="H182" s="12">
        <v>635</v>
      </c>
      <c r="I182" s="12">
        <v>139.69999999999999</v>
      </c>
      <c r="J182" s="12">
        <v>39.6</v>
      </c>
      <c r="K182" s="12">
        <v>533.4</v>
      </c>
      <c r="L182" s="12">
        <v>577.9</v>
      </c>
      <c r="M182" s="33">
        <v>16</v>
      </c>
      <c r="N182" s="12">
        <v>31.8</v>
      </c>
      <c r="O182" s="12">
        <v>505</v>
      </c>
      <c r="P182" s="13">
        <v>1.6</v>
      </c>
      <c r="Q182" s="12">
        <v>9.6999999999999993</v>
      </c>
      <c r="R182" s="12">
        <v>7</v>
      </c>
      <c r="S182" s="36">
        <f t="shared" si="9"/>
        <v>146.19999999999999</v>
      </c>
      <c r="T182" s="36" t="s">
        <v>79</v>
      </c>
      <c r="U182" s="12">
        <v>22</v>
      </c>
      <c r="V182" s="12">
        <v>94</v>
      </c>
    </row>
    <row r="183" spans="1:22" ht="12.75" customHeight="1" x14ac:dyDescent="0.3">
      <c r="A183" s="2"/>
      <c r="B183" s="23" t="str">
        <f t="shared" si="10"/>
        <v>WNRF 150# ANSI B16.47-MSS SP-44 Size 20"</v>
      </c>
      <c r="C183" s="9" t="s">
        <v>39</v>
      </c>
      <c r="D183" s="37" t="s">
        <v>61</v>
      </c>
      <c r="E183" s="9" t="s">
        <v>110</v>
      </c>
      <c r="F183" s="27" t="s">
        <v>83</v>
      </c>
      <c r="G183" s="11">
        <v>500</v>
      </c>
      <c r="H183" s="12">
        <v>698.5</v>
      </c>
      <c r="I183" s="12">
        <v>144.5</v>
      </c>
      <c r="J183" s="12">
        <v>42.9</v>
      </c>
      <c r="K183" s="12">
        <v>584.20000000000005</v>
      </c>
      <c r="L183" s="12">
        <v>635</v>
      </c>
      <c r="M183" s="33">
        <v>20</v>
      </c>
      <c r="N183" s="12">
        <v>31.8</v>
      </c>
      <c r="O183" s="12">
        <v>558.79999999999995</v>
      </c>
      <c r="P183" s="13">
        <v>1.6</v>
      </c>
      <c r="Q183" s="12">
        <v>9.6999999999999993</v>
      </c>
      <c r="R183" s="12">
        <v>7</v>
      </c>
      <c r="S183" s="36">
        <f t="shared" si="9"/>
        <v>152.80000000000001</v>
      </c>
      <c r="T183" s="36" t="s">
        <v>79</v>
      </c>
      <c r="U183" s="12">
        <v>22</v>
      </c>
      <c r="V183" s="12">
        <v>122</v>
      </c>
    </row>
    <row r="184" spans="1:22" ht="12.75" customHeight="1" x14ac:dyDescent="0.3">
      <c r="A184" s="2"/>
      <c r="B184" s="23" t="str">
        <f t="shared" si="10"/>
        <v>WNRF 150# ANSI B16.47-MSS SP-44 Size 22"</v>
      </c>
      <c r="C184" s="9" t="s">
        <v>39</v>
      </c>
      <c r="D184" s="37" t="s">
        <v>61</v>
      </c>
      <c r="E184" s="9" t="s">
        <v>110</v>
      </c>
      <c r="F184" s="27" t="s">
        <v>84</v>
      </c>
      <c r="G184" s="11">
        <v>550</v>
      </c>
      <c r="H184" s="12">
        <v>749.3</v>
      </c>
      <c r="I184" s="12">
        <v>179.4</v>
      </c>
      <c r="J184" s="12">
        <v>46</v>
      </c>
      <c r="K184" s="12">
        <v>641.4</v>
      </c>
      <c r="L184" s="12">
        <v>692.2</v>
      </c>
      <c r="M184" s="33">
        <v>20</v>
      </c>
      <c r="N184" s="12">
        <v>35.1</v>
      </c>
      <c r="O184" s="12">
        <v>609.6</v>
      </c>
      <c r="P184" s="13">
        <v>1.6</v>
      </c>
      <c r="Q184" s="12">
        <v>9.6999999999999993</v>
      </c>
      <c r="R184" s="12">
        <v>7</v>
      </c>
      <c r="S184" s="36">
        <f t="shared" si="9"/>
        <v>167</v>
      </c>
      <c r="T184" s="36" t="s">
        <v>43</v>
      </c>
      <c r="U184" s="12">
        <v>26</v>
      </c>
      <c r="V184" s="12">
        <v>154</v>
      </c>
    </row>
    <row r="185" spans="1:22" ht="12.75" customHeight="1" x14ac:dyDescent="0.3">
      <c r="A185" s="2"/>
      <c r="B185" s="23" t="str">
        <f t="shared" si="10"/>
        <v>WNRF 150# ANSI B16.47-MSS SP-44 Size 24"</v>
      </c>
      <c r="C185" s="9" t="s">
        <v>39</v>
      </c>
      <c r="D185" s="37" t="s">
        <v>61</v>
      </c>
      <c r="E185" s="9" t="s">
        <v>110</v>
      </c>
      <c r="F185" s="27" t="s">
        <v>85</v>
      </c>
      <c r="G185" s="11">
        <v>600</v>
      </c>
      <c r="H185" s="12">
        <v>812.8</v>
      </c>
      <c r="I185" s="12">
        <v>152.4</v>
      </c>
      <c r="J185" s="12">
        <v>47.8</v>
      </c>
      <c r="K185" s="12">
        <v>692.2</v>
      </c>
      <c r="L185" s="12">
        <v>749.3</v>
      </c>
      <c r="M185" s="33">
        <v>20</v>
      </c>
      <c r="N185" s="12">
        <v>35.1</v>
      </c>
      <c r="O185" s="12">
        <v>663.4</v>
      </c>
      <c r="P185" s="13">
        <v>1.6</v>
      </c>
      <c r="Q185" s="12">
        <v>9.6999999999999993</v>
      </c>
      <c r="R185" s="12">
        <v>7</v>
      </c>
      <c r="S185" s="36">
        <f t="shared" si="9"/>
        <v>170.6</v>
      </c>
      <c r="T185" s="36" t="s">
        <v>43</v>
      </c>
      <c r="U185" s="12">
        <v>26</v>
      </c>
      <c r="V185" s="12">
        <v>185</v>
      </c>
    </row>
    <row r="186" spans="1:22" ht="12.75" customHeight="1" x14ac:dyDescent="0.3">
      <c r="A186" s="2"/>
      <c r="B186" s="23" t="str">
        <f t="shared" si="10"/>
        <v>WNRF 150# ANSI B16.47-MSS SP-44 Size 26"</v>
      </c>
      <c r="C186" s="9" t="s">
        <v>39</v>
      </c>
      <c r="D186" s="37" t="s">
        <v>61</v>
      </c>
      <c r="E186" s="9" t="s">
        <v>110</v>
      </c>
      <c r="F186" s="27" t="s">
        <v>41</v>
      </c>
      <c r="G186" s="11">
        <v>650</v>
      </c>
      <c r="H186" s="12">
        <v>870</v>
      </c>
      <c r="I186" s="12">
        <v>120.7</v>
      </c>
      <c r="J186" s="12">
        <v>68.3</v>
      </c>
      <c r="K186" s="12">
        <v>749.3</v>
      </c>
      <c r="L186" s="12">
        <v>806.5</v>
      </c>
      <c r="M186" s="33">
        <v>24</v>
      </c>
      <c r="N186" s="12">
        <v>35.1</v>
      </c>
      <c r="O186" s="12">
        <v>676.1</v>
      </c>
      <c r="P186" s="13">
        <v>1.6</v>
      </c>
      <c r="Q186" s="12">
        <v>9.6999999999999993</v>
      </c>
      <c r="R186" s="12">
        <v>7</v>
      </c>
      <c r="S186" s="36">
        <f t="shared" si="9"/>
        <v>211.6</v>
      </c>
      <c r="T186" s="36" t="s">
        <v>43</v>
      </c>
      <c r="U186" s="12">
        <v>26</v>
      </c>
      <c r="V186" s="12">
        <v>306</v>
      </c>
    </row>
    <row r="187" spans="1:22" ht="12.75" customHeight="1" x14ac:dyDescent="0.3">
      <c r="A187" s="2"/>
      <c r="B187" s="23" t="str">
        <f t="shared" si="10"/>
        <v>WNRF 150# ANSI B16.47-MSS SP-44 Size 28"</v>
      </c>
      <c r="C187" s="9" t="s">
        <v>39</v>
      </c>
      <c r="D187" s="37" t="s">
        <v>61</v>
      </c>
      <c r="E187" s="9" t="s">
        <v>110</v>
      </c>
      <c r="F187" s="27" t="s">
        <v>44</v>
      </c>
      <c r="G187" s="11">
        <v>700</v>
      </c>
      <c r="H187" s="12">
        <v>927.1</v>
      </c>
      <c r="I187" s="12">
        <v>125.5</v>
      </c>
      <c r="J187" s="12">
        <v>71.400000000000006</v>
      </c>
      <c r="K187" s="12">
        <v>800.1</v>
      </c>
      <c r="L187" s="12">
        <v>863.6</v>
      </c>
      <c r="M187" s="33">
        <v>28</v>
      </c>
      <c r="N187" s="12">
        <v>35.1</v>
      </c>
      <c r="O187" s="12">
        <v>726.9</v>
      </c>
      <c r="P187" s="13">
        <v>1.6</v>
      </c>
      <c r="Q187" s="12">
        <v>11.2</v>
      </c>
      <c r="R187" s="12">
        <v>7</v>
      </c>
      <c r="S187" s="36">
        <f t="shared" si="9"/>
        <v>217.8</v>
      </c>
      <c r="T187" s="36" t="s">
        <v>43</v>
      </c>
      <c r="U187" s="12">
        <v>26</v>
      </c>
      <c r="V187" s="12">
        <v>363</v>
      </c>
    </row>
    <row r="188" spans="1:22" ht="12.75" customHeight="1" x14ac:dyDescent="0.3">
      <c r="A188" s="2"/>
      <c r="B188" s="23" t="str">
        <f t="shared" si="10"/>
        <v>WNRF 150# ANSI B16.47-MSS SP-44 Size 30"</v>
      </c>
      <c r="C188" s="9" t="s">
        <v>39</v>
      </c>
      <c r="D188" s="37" t="s">
        <v>61</v>
      </c>
      <c r="E188" s="9" t="s">
        <v>110</v>
      </c>
      <c r="F188" s="27" t="s">
        <v>45</v>
      </c>
      <c r="G188" s="11">
        <v>750</v>
      </c>
      <c r="H188" s="12">
        <v>684.2</v>
      </c>
      <c r="I188" s="12">
        <v>136.69999999999999</v>
      </c>
      <c r="J188" s="12">
        <v>74.7</v>
      </c>
      <c r="K188" s="12">
        <v>857.3</v>
      </c>
      <c r="L188" s="12">
        <v>914.4</v>
      </c>
      <c r="M188" s="33">
        <v>28</v>
      </c>
      <c r="N188" s="12">
        <v>35.1</v>
      </c>
      <c r="O188" s="12">
        <v>781.1</v>
      </c>
      <c r="P188" s="13">
        <v>1.6</v>
      </c>
      <c r="Q188" s="12">
        <v>11.2</v>
      </c>
      <c r="R188" s="12">
        <v>7</v>
      </c>
      <c r="S188" s="36">
        <f t="shared" si="9"/>
        <v>220.4</v>
      </c>
      <c r="T188" s="36" t="s">
        <v>43</v>
      </c>
      <c r="U188" s="12">
        <v>24</v>
      </c>
      <c r="V188" s="12">
        <v>430</v>
      </c>
    </row>
    <row r="189" spans="1:22" ht="12.75" customHeight="1" x14ac:dyDescent="0.3">
      <c r="A189" s="2"/>
      <c r="B189" s="23" t="str">
        <f t="shared" si="10"/>
        <v>WNRF 150# ANSI B16.47-MSS SP-44 Size 32"</v>
      </c>
      <c r="C189" s="9" t="s">
        <v>39</v>
      </c>
      <c r="D189" s="37" t="s">
        <v>61</v>
      </c>
      <c r="E189" s="9" t="s">
        <v>110</v>
      </c>
      <c r="F189" s="27" t="s">
        <v>46</v>
      </c>
      <c r="G189" s="11">
        <v>800</v>
      </c>
      <c r="H189" s="12">
        <v>1060.4000000000001</v>
      </c>
      <c r="I189" s="12">
        <v>144.5</v>
      </c>
      <c r="J189" s="12">
        <v>80.8</v>
      </c>
      <c r="K189" s="12">
        <v>914.4</v>
      </c>
      <c r="L189" s="12">
        <v>977.9</v>
      </c>
      <c r="M189" s="33">
        <v>28</v>
      </c>
      <c r="N189" s="12">
        <v>41.1</v>
      </c>
      <c r="O189" s="12">
        <v>831.9</v>
      </c>
      <c r="P189" s="13">
        <v>1.6</v>
      </c>
      <c r="Q189" s="12">
        <v>11.2</v>
      </c>
      <c r="R189" s="12">
        <v>7</v>
      </c>
      <c r="S189" s="36">
        <f t="shared" si="9"/>
        <v>246.6</v>
      </c>
      <c r="T189" s="36" t="s">
        <v>57</v>
      </c>
      <c r="U189" s="12">
        <v>31</v>
      </c>
      <c r="V189" s="12">
        <v>537</v>
      </c>
    </row>
    <row r="190" spans="1:22" ht="12.75" customHeight="1" x14ac:dyDescent="0.3">
      <c r="A190" s="2"/>
      <c r="B190" s="23" t="str">
        <f t="shared" si="10"/>
        <v>WNRF 150# ANSI B16.47-MSS SP-44 Size 34"</v>
      </c>
      <c r="C190" s="9" t="s">
        <v>39</v>
      </c>
      <c r="D190" s="37" t="s">
        <v>61</v>
      </c>
      <c r="E190" s="9" t="s">
        <v>110</v>
      </c>
      <c r="F190" s="27" t="s">
        <v>48</v>
      </c>
      <c r="G190" s="11">
        <v>850</v>
      </c>
      <c r="H190" s="12">
        <v>1111.2</v>
      </c>
      <c r="I190" s="12">
        <v>149.4</v>
      </c>
      <c r="J190" s="12">
        <v>82.6</v>
      </c>
      <c r="K190" s="12">
        <v>965.2</v>
      </c>
      <c r="L190" s="12">
        <v>1028.7</v>
      </c>
      <c r="M190" s="33">
        <v>32</v>
      </c>
      <c r="N190" s="12">
        <v>41.1</v>
      </c>
      <c r="O190" s="12">
        <v>882.7</v>
      </c>
      <c r="P190" s="13">
        <v>1.6</v>
      </c>
      <c r="Q190" s="12">
        <v>12.7</v>
      </c>
      <c r="R190" s="12">
        <v>7</v>
      </c>
      <c r="S190" s="36">
        <f t="shared" si="9"/>
        <v>250.2</v>
      </c>
      <c r="T190" s="36" t="s">
        <v>57</v>
      </c>
      <c r="U190" s="12">
        <v>31</v>
      </c>
      <c r="V190" s="12">
        <v>600</v>
      </c>
    </row>
    <row r="191" spans="1:22" ht="12.75" customHeight="1" x14ac:dyDescent="0.3">
      <c r="A191" s="2"/>
      <c r="B191" s="23" t="str">
        <f t="shared" si="10"/>
        <v>WNRF 150# ANSI B16.47-MSS SP-44 Size 36"</v>
      </c>
      <c r="C191" s="9" t="s">
        <v>39</v>
      </c>
      <c r="D191" s="37" t="s">
        <v>61</v>
      </c>
      <c r="E191" s="9" t="s">
        <v>110</v>
      </c>
      <c r="F191" s="27" t="s">
        <v>49</v>
      </c>
      <c r="G191" s="11">
        <v>900</v>
      </c>
      <c r="H191" s="12">
        <v>1168.4000000000001</v>
      </c>
      <c r="I191" s="12">
        <v>157.19999999999999</v>
      </c>
      <c r="J191" s="12">
        <v>90.4</v>
      </c>
      <c r="K191" s="12">
        <v>1022.4</v>
      </c>
      <c r="L191" s="12">
        <v>1085.9000000000001</v>
      </c>
      <c r="M191" s="33">
        <v>32</v>
      </c>
      <c r="N191" s="12">
        <v>41.1</v>
      </c>
      <c r="O191" s="12">
        <v>933.5</v>
      </c>
      <c r="P191" s="13">
        <v>1.6</v>
      </c>
      <c r="Q191" s="12">
        <v>12.7</v>
      </c>
      <c r="R191" s="12">
        <v>7</v>
      </c>
      <c r="S191" s="36">
        <f t="shared" si="9"/>
        <v>265.8</v>
      </c>
      <c r="T191" s="36" t="s">
        <v>57</v>
      </c>
      <c r="U191" s="12">
        <v>31</v>
      </c>
      <c r="V191" s="12">
        <v>730</v>
      </c>
    </row>
    <row r="192" spans="1:22" ht="12.75" customHeight="1" x14ac:dyDescent="0.3">
      <c r="A192" s="2"/>
      <c r="B192" s="23" t="str">
        <f t="shared" si="10"/>
        <v>WNRF 150# ANSI B16.47-MSS SP-44 Size 38"</v>
      </c>
      <c r="C192" s="9" t="s">
        <v>39</v>
      </c>
      <c r="D192" s="37" t="s">
        <v>61</v>
      </c>
      <c r="E192" s="9" t="s">
        <v>110</v>
      </c>
      <c r="F192" s="27" t="s">
        <v>50</v>
      </c>
      <c r="G192" s="11">
        <v>950</v>
      </c>
      <c r="H192" s="12">
        <v>1238.2</v>
      </c>
      <c r="I192" s="12">
        <v>157.19999999999999</v>
      </c>
      <c r="J192" s="12">
        <v>87.4</v>
      </c>
      <c r="K192" s="12">
        <v>1073.2</v>
      </c>
      <c r="L192" s="12">
        <v>1149.4000000000001</v>
      </c>
      <c r="M192" s="33">
        <v>32</v>
      </c>
      <c r="N192" s="12">
        <v>41.1</v>
      </c>
      <c r="O192" s="12">
        <v>990.6</v>
      </c>
      <c r="P192" s="13">
        <v>1.6</v>
      </c>
      <c r="Q192" s="12">
        <v>12.7</v>
      </c>
      <c r="R192" s="12">
        <v>7</v>
      </c>
      <c r="S192" s="36">
        <f t="shared" si="9"/>
        <v>259.8</v>
      </c>
      <c r="T192" s="36" t="s">
        <v>57</v>
      </c>
      <c r="U192" s="12">
        <v>31</v>
      </c>
      <c r="V192" s="12">
        <v>792</v>
      </c>
    </row>
    <row r="193" spans="1:22" ht="12.75" customHeight="1" x14ac:dyDescent="0.3">
      <c r="A193" s="2"/>
      <c r="B193" s="23" t="str">
        <f t="shared" si="10"/>
        <v>WNRF 150# ANSI B16.47-MSS SP-44 Size 40"</v>
      </c>
      <c r="C193" s="9" t="s">
        <v>39</v>
      </c>
      <c r="D193" s="37" t="s">
        <v>61</v>
      </c>
      <c r="E193" s="9" t="s">
        <v>110</v>
      </c>
      <c r="F193" s="27" t="s">
        <v>51</v>
      </c>
      <c r="G193" s="11">
        <v>1000</v>
      </c>
      <c r="H193" s="12">
        <v>1289</v>
      </c>
      <c r="I193" s="12">
        <v>163.6</v>
      </c>
      <c r="J193" s="12">
        <v>90.4</v>
      </c>
      <c r="K193" s="12">
        <v>1124</v>
      </c>
      <c r="L193" s="12">
        <v>1200.2</v>
      </c>
      <c r="M193" s="33">
        <v>36</v>
      </c>
      <c r="N193" s="12">
        <v>41.1</v>
      </c>
      <c r="O193" s="12">
        <v>1041.4000000000001</v>
      </c>
      <c r="P193" s="13">
        <v>1.6</v>
      </c>
      <c r="Q193" s="12">
        <v>12.7</v>
      </c>
      <c r="R193" s="12">
        <v>7</v>
      </c>
      <c r="S193" s="36">
        <f t="shared" si="9"/>
        <v>265.8</v>
      </c>
      <c r="T193" s="36" t="s">
        <v>57</v>
      </c>
      <c r="U193" s="12">
        <v>31</v>
      </c>
      <c r="V193" s="12">
        <v>893</v>
      </c>
    </row>
    <row r="194" spans="1:22" ht="12.75" customHeight="1" x14ac:dyDescent="0.3">
      <c r="A194" s="2"/>
      <c r="B194" s="23" t="str">
        <f t="shared" si="10"/>
        <v>WNRF 150# ANSI B16.47-MSS SP-44 Size 42"</v>
      </c>
      <c r="C194" s="9" t="s">
        <v>39</v>
      </c>
      <c r="D194" s="37" t="s">
        <v>61</v>
      </c>
      <c r="E194" s="9" t="s">
        <v>110</v>
      </c>
      <c r="F194" s="27" t="s">
        <v>52</v>
      </c>
      <c r="G194" s="11">
        <v>1050</v>
      </c>
      <c r="H194" s="12">
        <v>1346.2</v>
      </c>
      <c r="I194" s="12">
        <v>171.5</v>
      </c>
      <c r="J194" s="12">
        <v>96.8</v>
      </c>
      <c r="K194" s="12">
        <v>1193.8</v>
      </c>
      <c r="L194" s="12">
        <v>1257.3</v>
      </c>
      <c r="M194" s="33">
        <v>36</v>
      </c>
      <c r="N194" s="12">
        <v>41.1</v>
      </c>
      <c r="O194" s="12">
        <v>1092.2</v>
      </c>
      <c r="P194" s="13">
        <v>1.6</v>
      </c>
      <c r="Q194" s="12">
        <v>12.7</v>
      </c>
      <c r="R194" s="12">
        <v>7</v>
      </c>
      <c r="S194" s="36">
        <f t="shared" si="9"/>
        <v>278.60000000000002</v>
      </c>
      <c r="T194" s="36" t="s">
        <v>57</v>
      </c>
      <c r="U194" s="12">
        <v>31</v>
      </c>
      <c r="V194" s="12">
        <v>1044</v>
      </c>
    </row>
    <row r="195" spans="1:22" ht="12.75" customHeight="1" x14ac:dyDescent="0.3">
      <c r="A195" s="2"/>
      <c r="B195" s="23" t="str">
        <f t="shared" si="10"/>
        <v>WNRF 150# ANSI B16.47-MSS SP-44 Size 44"</v>
      </c>
      <c r="C195" s="9" t="s">
        <v>39</v>
      </c>
      <c r="D195" s="37" t="s">
        <v>61</v>
      </c>
      <c r="E195" s="9" t="s">
        <v>110</v>
      </c>
      <c r="F195" s="27" t="s">
        <v>53</v>
      </c>
      <c r="G195" s="11">
        <v>1100</v>
      </c>
      <c r="H195" s="12">
        <v>1403.3</v>
      </c>
      <c r="I195" s="12">
        <v>177.8</v>
      </c>
      <c r="J195" s="12">
        <v>101.6</v>
      </c>
      <c r="K195" s="12">
        <v>1244.5999999999999</v>
      </c>
      <c r="L195" s="12">
        <v>1314.5</v>
      </c>
      <c r="M195" s="33">
        <v>40</v>
      </c>
      <c r="N195" s="12">
        <v>41.1</v>
      </c>
      <c r="O195" s="12">
        <v>1143</v>
      </c>
      <c r="P195" s="13">
        <v>1.6</v>
      </c>
      <c r="Q195" s="12">
        <v>12.7</v>
      </c>
      <c r="R195" s="12">
        <v>7</v>
      </c>
      <c r="S195" s="36">
        <f t="shared" si="9"/>
        <v>288.2</v>
      </c>
      <c r="T195" s="36" t="s">
        <v>57</v>
      </c>
      <c r="U195" s="12">
        <v>31</v>
      </c>
      <c r="V195" s="12">
        <v>1190</v>
      </c>
    </row>
    <row r="196" spans="1:22" ht="12.75" customHeight="1" x14ac:dyDescent="0.3">
      <c r="A196" s="2"/>
      <c r="B196" s="23" t="str">
        <f t="shared" si="10"/>
        <v>WNRF 150# ANSI B16.47-MSS SP-44 Size 46"</v>
      </c>
      <c r="C196" s="9" t="s">
        <v>39</v>
      </c>
      <c r="D196" s="37" t="s">
        <v>61</v>
      </c>
      <c r="E196" s="9" t="s">
        <v>110</v>
      </c>
      <c r="F196" s="27" t="s">
        <v>54</v>
      </c>
      <c r="G196" s="11">
        <v>1150</v>
      </c>
      <c r="H196" s="12">
        <v>1454.1</v>
      </c>
      <c r="I196" s="12">
        <v>185.7</v>
      </c>
      <c r="J196" s="12">
        <v>103.1</v>
      </c>
      <c r="K196" s="12">
        <v>1295.4000000000001</v>
      </c>
      <c r="L196" s="12">
        <v>1365.3</v>
      </c>
      <c r="M196" s="33">
        <v>40</v>
      </c>
      <c r="N196" s="12">
        <v>41.1</v>
      </c>
      <c r="O196" s="12">
        <v>1196.8</v>
      </c>
      <c r="P196" s="13">
        <v>1.6</v>
      </c>
      <c r="Q196" s="12">
        <v>12.7</v>
      </c>
      <c r="R196" s="12">
        <v>7</v>
      </c>
      <c r="S196" s="36">
        <f t="shared" ref="S196:S259" si="11">(J196+U196+8)*2+R196</f>
        <v>291.2</v>
      </c>
      <c r="T196" s="36" t="s">
        <v>57</v>
      </c>
      <c r="U196" s="12">
        <v>31</v>
      </c>
      <c r="V196" s="12">
        <v>1299</v>
      </c>
    </row>
    <row r="197" spans="1:22" ht="12.75" customHeight="1" x14ac:dyDescent="0.3">
      <c r="A197" s="2"/>
      <c r="B197" s="23" t="str">
        <f t="shared" si="10"/>
        <v>WNRF 150# ANSI B16.47-MSS SP-44 Size 48"</v>
      </c>
      <c r="C197" s="9" t="s">
        <v>39</v>
      </c>
      <c r="D197" s="37" t="s">
        <v>61</v>
      </c>
      <c r="E197" s="9" t="s">
        <v>110</v>
      </c>
      <c r="F197" s="27" t="s">
        <v>55</v>
      </c>
      <c r="G197" s="11">
        <v>1200</v>
      </c>
      <c r="H197" s="12">
        <v>1511.3</v>
      </c>
      <c r="I197" s="12">
        <v>191.3</v>
      </c>
      <c r="J197" s="12">
        <v>108</v>
      </c>
      <c r="K197" s="12">
        <v>1325.9</v>
      </c>
      <c r="L197" s="12">
        <v>1422.4</v>
      </c>
      <c r="M197" s="33">
        <v>44</v>
      </c>
      <c r="N197" s="12">
        <v>41.1</v>
      </c>
      <c r="O197" s="12">
        <v>1247.5999999999999</v>
      </c>
      <c r="P197" s="13">
        <v>1.6</v>
      </c>
      <c r="Q197" s="12">
        <v>12.7</v>
      </c>
      <c r="R197" s="12">
        <v>7</v>
      </c>
      <c r="S197" s="36">
        <f t="shared" si="11"/>
        <v>301</v>
      </c>
      <c r="T197" s="36" t="s">
        <v>57</v>
      </c>
      <c r="U197" s="12">
        <v>31</v>
      </c>
      <c r="V197" s="12">
        <v>1470</v>
      </c>
    </row>
    <row r="198" spans="1:22" ht="12.75" customHeight="1" x14ac:dyDescent="0.3">
      <c r="A198" s="2"/>
      <c r="B198" s="23" t="str">
        <f t="shared" si="10"/>
        <v>WNRF 150# ANSI B16.47-MSS SP-44 Size 50"</v>
      </c>
      <c r="C198" s="9" t="s">
        <v>39</v>
      </c>
      <c r="D198" s="37" t="s">
        <v>61</v>
      </c>
      <c r="E198" s="9" t="s">
        <v>110</v>
      </c>
      <c r="F198" s="27" t="s">
        <v>56</v>
      </c>
      <c r="G198" s="11">
        <v>1250</v>
      </c>
      <c r="H198" s="12">
        <v>1568.4</v>
      </c>
      <c r="I198" s="12">
        <v>203.2</v>
      </c>
      <c r="J198" s="12">
        <v>111.3</v>
      </c>
      <c r="K198" s="12">
        <v>1409.7</v>
      </c>
      <c r="L198" s="12">
        <v>1479.6</v>
      </c>
      <c r="M198" s="33">
        <v>44</v>
      </c>
      <c r="N198" s="12">
        <v>47.8</v>
      </c>
      <c r="O198" s="12">
        <v>1301.8</v>
      </c>
      <c r="P198" s="13">
        <v>1.6</v>
      </c>
      <c r="Q198" s="12">
        <v>12.7</v>
      </c>
      <c r="R198" s="12">
        <v>7</v>
      </c>
      <c r="S198" s="36">
        <f t="shared" si="11"/>
        <v>317.60000000000002</v>
      </c>
      <c r="T198" s="36" t="s">
        <v>88</v>
      </c>
      <c r="U198" s="12">
        <v>36</v>
      </c>
      <c r="V198" s="12">
        <v>1615</v>
      </c>
    </row>
    <row r="199" spans="1:22" ht="12.75" customHeight="1" x14ac:dyDescent="0.3">
      <c r="A199" s="2"/>
      <c r="B199" s="23" t="str">
        <f t="shared" si="10"/>
        <v>WNRF 150# ANSI B16.47-MSS SP-44 Size 52"</v>
      </c>
      <c r="C199" s="9" t="s">
        <v>39</v>
      </c>
      <c r="D199" s="37" t="s">
        <v>61</v>
      </c>
      <c r="E199" s="9" t="s">
        <v>110</v>
      </c>
      <c r="F199" s="27" t="s">
        <v>58</v>
      </c>
      <c r="G199" s="11">
        <v>1300</v>
      </c>
      <c r="H199" s="12">
        <v>1625.6</v>
      </c>
      <c r="I199" s="12">
        <v>209.6</v>
      </c>
      <c r="J199" s="12">
        <v>115.8</v>
      </c>
      <c r="K199" s="12">
        <v>1460.5</v>
      </c>
      <c r="L199" s="12">
        <v>1536.7</v>
      </c>
      <c r="M199" s="33">
        <v>44</v>
      </c>
      <c r="N199" s="12">
        <v>47.8</v>
      </c>
      <c r="O199" s="12">
        <v>1352.6</v>
      </c>
      <c r="P199" s="13">
        <v>1.6</v>
      </c>
      <c r="Q199" s="12">
        <v>12.7</v>
      </c>
      <c r="R199" s="12">
        <v>7</v>
      </c>
      <c r="S199" s="36">
        <f t="shared" si="11"/>
        <v>326.60000000000002</v>
      </c>
      <c r="T199" s="36" t="s">
        <v>88</v>
      </c>
      <c r="U199" s="12">
        <v>36</v>
      </c>
      <c r="V199" s="12">
        <v>1817</v>
      </c>
    </row>
    <row r="200" spans="1:22" ht="12.75" customHeight="1" x14ac:dyDescent="0.3">
      <c r="A200" s="2"/>
      <c r="B200" s="23" t="str">
        <f t="shared" si="10"/>
        <v>WNRF 150# ANSI B16.47-MSS SP-44 Size 54"</v>
      </c>
      <c r="C200" s="9" t="s">
        <v>39</v>
      </c>
      <c r="D200" s="37" t="s">
        <v>61</v>
      </c>
      <c r="E200" s="9" t="s">
        <v>110</v>
      </c>
      <c r="F200" s="27" t="s">
        <v>59</v>
      </c>
      <c r="G200" s="11">
        <v>1350</v>
      </c>
      <c r="H200" s="12">
        <v>1682.7</v>
      </c>
      <c r="I200" s="12">
        <v>215.9</v>
      </c>
      <c r="J200" s="12">
        <v>120.7</v>
      </c>
      <c r="K200" s="12">
        <v>1511.3</v>
      </c>
      <c r="L200" s="12">
        <v>1593.9</v>
      </c>
      <c r="M200" s="33">
        <v>44</v>
      </c>
      <c r="N200" s="12">
        <v>47.8</v>
      </c>
      <c r="O200" s="12">
        <v>1403.4</v>
      </c>
      <c r="P200" s="13">
        <v>1.6</v>
      </c>
      <c r="Q200" s="12">
        <v>12.7</v>
      </c>
      <c r="R200" s="12">
        <v>7</v>
      </c>
      <c r="S200" s="36">
        <f t="shared" si="11"/>
        <v>336.4</v>
      </c>
      <c r="T200" s="36" t="s">
        <v>88</v>
      </c>
      <c r="U200" s="12">
        <v>36</v>
      </c>
      <c r="V200" s="12">
        <v>2031</v>
      </c>
    </row>
    <row r="201" spans="1:22" ht="12.75" customHeight="1" x14ac:dyDescent="0.3">
      <c r="A201" s="2"/>
      <c r="B201" s="23" t="str">
        <f t="shared" si="10"/>
        <v>WNRF 150# ANSI B16.47-MSS SP-44 Size 56"</v>
      </c>
      <c r="C201" s="9" t="s">
        <v>39</v>
      </c>
      <c r="D201" s="37" t="s">
        <v>61</v>
      </c>
      <c r="E201" s="9" t="s">
        <v>110</v>
      </c>
      <c r="F201" s="27" t="s">
        <v>104</v>
      </c>
      <c r="G201" s="11">
        <v>1400</v>
      </c>
      <c r="H201" s="12">
        <v>1746.2</v>
      </c>
      <c r="I201" s="12">
        <v>228.6</v>
      </c>
      <c r="J201" s="12">
        <v>124</v>
      </c>
      <c r="K201" s="12">
        <v>1574.8</v>
      </c>
      <c r="L201" s="12">
        <v>1651</v>
      </c>
      <c r="M201" s="33">
        <v>48</v>
      </c>
      <c r="N201" s="12">
        <v>47.8</v>
      </c>
      <c r="O201" s="12">
        <v>1457.5</v>
      </c>
      <c r="P201" s="13">
        <v>1.6</v>
      </c>
      <c r="Q201" s="12">
        <v>12.7</v>
      </c>
      <c r="R201" s="12">
        <v>7</v>
      </c>
      <c r="S201" s="36">
        <f t="shared" si="11"/>
        <v>343</v>
      </c>
      <c r="T201" s="36" t="s">
        <v>88</v>
      </c>
      <c r="U201" s="12">
        <v>36</v>
      </c>
      <c r="V201" s="12">
        <v>2244</v>
      </c>
    </row>
    <row r="202" spans="1:22" ht="12.75" customHeight="1" x14ac:dyDescent="0.3">
      <c r="A202" s="2"/>
      <c r="B202" s="23" t="str">
        <f t="shared" si="10"/>
        <v>WNRF 150# ANSI B16.47-MSS SP-44 Size 58"</v>
      </c>
      <c r="C202" s="9" t="s">
        <v>39</v>
      </c>
      <c r="D202" s="37" t="s">
        <v>61</v>
      </c>
      <c r="E202" s="9" t="s">
        <v>110</v>
      </c>
      <c r="F202" s="27" t="s">
        <v>105</v>
      </c>
      <c r="G202" s="11">
        <v>1450</v>
      </c>
      <c r="H202" s="12">
        <v>1803.4</v>
      </c>
      <c r="I202" s="12">
        <v>235</v>
      </c>
      <c r="J202" s="12">
        <v>128.5</v>
      </c>
      <c r="K202" s="12">
        <v>1625.6</v>
      </c>
      <c r="L202" s="12">
        <v>1708.2</v>
      </c>
      <c r="M202" s="33">
        <v>48</v>
      </c>
      <c r="N202" s="12">
        <v>47.8</v>
      </c>
      <c r="O202" s="12">
        <v>1508.3</v>
      </c>
      <c r="P202" s="13">
        <v>1.6</v>
      </c>
      <c r="Q202" s="12">
        <v>12.7</v>
      </c>
      <c r="R202" s="12">
        <v>7</v>
      </c>
      <c r="S202" s="36">
        <f t="shared" si="11"/>
        <v>352</v>
      </c>
      <c r="T202" s="36" t="s">
        <v>88</v>
      </c>
      <c r="U202" s="12">
        <v>36</v>
      </c>
      <c r="V202" s="12">
        <v>2491</v>
      </c>
    </row>
    <row r="203" spans="1:22" ht="12.75" customHeight="1" x14ac:dyDescent="0.3">
      <c r="A203" s="2"/>
      <c r="B203" s="23" t="str">
        <f t="shared" si="10"/>
        <v>WNRF 150# ANSI B16.47-MSS SP-44 Size 60"</v>
      </c>
      <c r="C203" s="9" t="s">
        <v>39</v>
      </c>
      <c r="D203" s="37" t="s">
        <v>61</v>
      </c>
      <c r="E203" s="9" t="s">
        <v>110</v>
      </c>
      <c r="F203" s="27" t="s">
        <v>60</v>
      </c>
      <c r="G203" s="11">
        <v>1500</v>
      </c>
      <c r="H203" s="12">
        <v>1854.2</v>
      </c>
      <c r="I203" s="12">
        <v>239.8</v>
      </c>
      <c r="J203" s="12">
        <v>131.80000000000001</v>
      </c>
      <c r="K203" s="12">
        <v>1676.4</v>
      </c>
      <c r="L203" s="12">
        <v>1759</v>
      </c>
      <c r="M203" s="33">
        <v>52</v>
      </c>
      <c r="N203" s="12">
        <v>47.8</v>
      </c>
      <c r="O203" s="12">
        <v>1559.1</v>
      </c>
      <c r="P203" s="13">
        <v>1.6</v>
      </c>
      <c r="Q203" s="12">
        <v>12.7</v>
      </c>
      <c r="R203" s="12">
        <v>7</v>
      </c>
      <c r="S203" s="36">
        <f t="shared" si="11"/>
        <v>358.6</v>
      </c>
      <c r="T203" s="36" t="s">
        <v>88</v>
      </c>
      <c r="U203" s="12">
        <v>36</v>
      </c>
      <c r="V203" s="12">
        <v>2697</v>
      </c>
    </row>
    <row r="204" spans="1:22" ht="12.75" customHeight="1" x14ac:dyDescent="0.3">
      <c r="A204" s="2"/>
      <c r="B204" s="22" t="str">
        <f t="shared" si="10"/>
        <v>WNRF 300# ANSI B16.47-MSS SP-44 Size 12"</v>
      </c>
      <c r="C204" s="9" t="s">
        <v>39</v>
      </c>
      <c r="D204" s="37" t="s">
        <v>86</v>
      </c>
      <c r="E204" s="9" t="s">
        <v>110</v>
      </c>
      <c r="F204" s="27" t="s">
        <v>77</v>
      </c>
      <c r="G204" s="11">
        <v>300</v>
      </c>
      <c r="H204" s="12">
        <v>520.70000000000005</v>
      </c>
      <c r="I204" s="12">
        <v>130</v>
      </c>
      <c r="J204" s="12">
        <v>50.8</v>
      </c>
      <c r="K204" s="12" t="s">
        <v>42</v>
      </c>
      <c r="L204" s="12">
        <v>450.9</v>
      </c>
      <c r="M204" s="33">
        <v>16</v>
      </c>
      <c r="N204" s="12">
        <v>31.8</v>
      </c>
      <c r="O204" s="12">
        <v>374.7</v>
      </c>
      <c r="P204" s="13">
        <v>1.6</v>
      </c>
      <c r="Q204" s="12">
        <v>9.65</v>
      </c>
      <c r="R204" s="12">
        <v>6</v>
      </c>
      <c r="S204" s="36">
        <f t="shared" si="11"/>
        <v>167.6</v>
      </c>
      <c r="T204" s="36" t="s">
        <v>79</v>
      </c>
      <c r="U204" s="12">
        <v>22</v>
      </c>
      <c r="V204" s="12">
        <v>62</v>
      </c>
    </row>
    <row r="205" spans="1:22" ht="12.75" customHeight="1" x14ac:dyDescent="0.3">
      <c r="A205" s="2"/>
      <c r="B205" s="23" t="str">
        <f t="shared" si="10"/>
        <v>WNRF 300# ANSI B16.47-MSS SP-44 Size 14"</v>
      </c>
      <c r="C205" s="9" t="s">
        <v>39</v>
      </c>
      <c r="D205" s="37" t="s">
        <v>86</v>
      </c>
      <c r="E205" s="9" t="s">
        <v>110</v>
      </c>
      <c r="F205" s="27" t="s">
        <v>78</v>
      </c>
      <c r="G205" s="11">
        <v>350</v>
      </c>
      <c r="H205" s="12">
        <v>584.20000000000005</v>
      </c>
      <c r="I205" s="12">
        <v>142.69999999999999</v>
      </c>
      <c r="J205" s="12">
        <v>53.8</v>
      </c>
      <c r="K205" s="12" t="s">
        <v>42</v>
      </c>
      <c r="L205" s="12">
        <v>514.4</v>
      </c>
      <c r="M205" s="33">
        <v>20</v>
      </c>
      <c r="N205" s="12">
        <v>31.8</v>
      </c>
      <c r="O205" s="12">
        <v>425.5</v>
      </c>
      <c r="P205" s="13">
        <v>1.6</v>
      </c>
      <c r="Q205" s="12">
        <v>9.65</v>
      </c>
      <c r="R205" s="12">
        <v>7</v>
      </c>
      <c r="S205" s="36">
        <f t="shared" si="11"/>
        <v>174.6</v>
      </c>
      <c r="T205" s="36" t="s">
        <v>79</v>
      </c>
      <c r="U205" s="12">
        <v>22</v>
      </c>
      <c r="V205" s="12">
        <v>86</v>
      </c>
    </row>
    <row r="206" spans="1:22" ht="12.75" customHeight="1" x14ac:dyDescent="0.3">
      <c r="A206" s="2"/>
      <c r="B206" s="23" t="str">
        <f t="shared" si="10"/>
        <v>WNRF 300# ANSI B16.47-MSS SP-44 Size 16"</v>
      </c>
      <c r="C206" s="9" t="s">
        <v>39</v>
      </c>
      <c r="D206" s="37" t="s">
        <v>86</v>
      </c>
      <c r="E206" s="9" t="s">
        <v>110</v>
      </c>
      <c r="F206" s="27" t="s">
        <v>80</v>
      </c>
      <c r="G206" s="11">
        <v>400</v>
      </c>
      <c r="H206" s="12">
        <v>647.70000000000005</v>
      </c>
      <c r="I206" s="12">
        <v>146.1</v>
      </c>
      <c r="J206" s="12">
        <v>57.2</v>
      </c>
      <c r="K206" s="12" t="s">
        <v>42</v>
      </c>
      <c r="L206" s="12">
        <v>571.5</v>
      </c>
      <c r="M206" s="33">
        <v>20</v>
      </c>
      <c r="N206" s="12">
        <v>35.1</v>
      </c>
      <c r="O206" s="12">
        <v>482.6</v>
      </c>
      <c r="P206" s="13">
        <v>1.6</v>
      </c>
      <c r="Q206" s="12">
        <v>9.65</v>
      </c>
      <c r="R206" s="12">
        <v>7</v>
      </c>
      <c r="S206" s="36">
        <f t="shared" si="11"/>
        <v>189.4</v>
      </c>
      <c r="T206" s="36" t="s">
        <v>43</v>
      </c>
      <c r="U206" s="12">
        <v>26</v>
      </c>
      <c r="V206" s="12">
        <v>106</v>
      </c>
    </row>
    <row r="207" spans="1:22" ht="12.75" customHeight="1" x14ac:dyDescent="0.3">
      <c r="A207" s="2"/>
      <c r="B207" s="23" t="str">
        <f t="shared" si="10"/>
        <v>WNRF 300# ANSI B16.47-MSS SP-44 Size 18"</v>
      </c>
      <c r="C207" s="9" t="s">
        <v>39</v>
      </c>
      <c r="D207" s="37" t="s">
        <v>86</v>
      </c>
      <c r="E207" s="9" t="s">
        <v>110</v>
      </c>
      <c r="F207" s="27" t="s">
        <v>81</v>
      </c>
      <c r="G207" s="11">
        <v>450</v>
      </c>
      <c r="H207" s="12">
        <v>711.2</v>
      </c>
      <c r="I207" s="12">
        <v>158.80000000000001</v>
      </c>
      <c r="J207" s="12">
        <v>60.5</v>
      </c>
      <c r="K207" s="12" t="s">
        <v>42</v>
      </c>
      <c r="L207" s="12">
        <v>628.70000000000005</v>
      </c>
      <c r="M207" s="33">
        <v>24</v>
      </c>
      <c r="N207" s="12">
        <v>35.1</v>
      </c>
      <c r="O207" s="12">
        <v>533.4</v>
      </c>
      <c r="P207" s="13">
        <v>1.6</v>
      </c>
      <c r="Q207" s="12">
        <v>9.65</v>
      </c>
      <c r="R207" s="12">
        <v>7</v>
      </c>
      <c r="S207" s="36">
        <f t="shared" si="11"/>
        <v>196</v>
      </c>
      <c r="T207" s="36" t="s">
        <v>43</v>
      </c>
      <c r="U207" s="12">
        <v>26</v>
      </c>
      <c r="V207" s="12">
        <v>131</v>
      </c>
    </row>
    <row r="208" spans="1:22" ht="12.75" customHeight="1" x14ac:dyDescent="0.3">
      <c r="A208" s="2"/>
      <c r="B208" s="23" t="str">
        <f t="shared" si="10"/>
        <v>WNRF 300# ANSI B16.47-MSS SP-44 Size 20"</v>
      </c>
      <c r="C208" s="9" t="s">
        <v>39</v>
      </c>
      <c r="D208" s="37" t="s">
        <v>86</v>
      </c>
      <c r="E208" s="9" t="s">
        <v>110</v>
      </c>
      <c r="F208" s="27" t="s">
        <v>83</v>
      </c>
      <c r="G208" s="11">
        <v>500</v>
      </c>
      <c r="H208" s="12">
        <v>774.7</v>
      </c>
      <c r="I208" s="12">
        <v>162.1</v>
      </c>
      <c r="J208" s="12">
        <v>63.5</v>
      </c>
      <c r="K208" s="12" t="s">
        <v>42</v>
      </c>
      <c r="L208" s="12">
        <v>685.8</v>
      </c>
      <c r="M208" s="33">
        <v>24</v>
      </c>
      <c r="N208" s="12">
        <v>35.1</v>
      </c>
      <c r="O208" s="12">
        <v>587.20000000000005</v>
      </c>
      <c r="P208" s="13">
        <v>1.6</v>
      </c>
      <c r="Q208" s="12">
        <v>9.65</v>
      </c>
      <c r="R208" s="12">
        <v>7</v>
      </c>
      <c r="S208" s="36">
        <f t="shared" si="11"/>
        <v>202</v>
      </c>
      <c r="T208" s="36" t="s">
        <v>43</v>
      </c>
      <c r="U208" s="12">
        <v>26</v>
      </c>
      <c r="V208" s="12">
        <v>158</v>
      </c>
    </row>
    <row r="209" spans="1:22" ht="12.75" customHeight="1" x14ac:dyDescent="0.3">
      <c r="A209" s="2"/>
      <c r="B209" s="23" t="str">
        <f t="shared" si="10"/>
        <v>WNRF 300# ANSI B16.47-MSS SP-44 Size 22"</v>
      </c>
      <c r="C209" s="9" t="s">
        <v>39</v>
      </c>
      <c r="D209" s="37" t="s">
        <v>86</v>
      </c>
      <c r="E209" s="9" t="s">
        <v>110</v>
      </c>
      <c r="F209" s="27" t="s">
        <v>84</v>
      </c>
      <c r="G209" s="11">
        <v>550</v>
      </c>
      <c r="H209" s="12">
        <v>838.2</v>
      </c>
      <c r="I209" s="12">
        <v>165.1</v>
      </c>
      <c r="J209" s="12">
        <v>66.5</v>
      </c>
      <c r="K209" s="12" t="s">
        <v>42</v>
      </c>
      <c r="L209" s="12">
        <v>743</v>
      </c>
      <c r="M209" s="33">
        <v>24</v>
      </c>
      <c r="N209" s="12">
        <v>41.1</v>
      </c>
      <c r="O209" s="12">
        <v>641.4</v>
      </c>
      <c r="P209" s="13">
        <v>1.6</v>
      </c>
      <c r="Q209" s="12">
        <v>9.65</v>
      </c>
      <c r="R209" s="12">
        <v>7</v>
      </c>
      <c r="S209" s="36">
        <f t="shared" si="11"/>
        <v>218</v>
      </c>
      <c r="T209" s="36" t="s">
        <v>57</v>
      </c>
      <c r="U209" s="12">
        <v>31</v>
      </c>
      <c r="V209" s="12">
        <v>194</v>
      </c>
    </row>
    <row r="210" spans="1:22" ht="12.75" customHeight="1" x14ac:dyDescent="0.3">
      <c r="A210" s="2"/>
      <c r="B210" s="23" t="str">
        <f t="shared" si="10"/>
        <v>WNRF 300# ANSI B16.47-MSS SP-44 Size 24"</v>
      </c>
      <c r="C210" s="9" t="s">
        <v>39</v>
      </c>
      <c r="D210" s="37" t="s">
        <v>86</v>
      </c>
      <c r="E210" s="9" t="s">
        <v>110</v>
      </c>
      <c r="F210" s="27" t="s">
        <v>85</v>
      </c>
      <c r="G210" s="11">
        <v>600</v>
      </c>
      <c r="H210" s="12">
        <v>914.4</v>
      </c>
      <c r="I210" s="12">
        <v>168.1</v>
      </c>
      <c r="J210" s="12">
        <v>69.900000000000006</v>
      </c>
      <c r="K210" s="12" t="s">
        <v>42</v>
      </c>
      <c r="L210" s="12">
        <v>812.8</v>
      </c>
      <c r="M210" s="33">
        <v>24</v>
      </c>
      <c r="N210" s="12">
        <v>41.1</v>
      </c>
      <c r="O210" s="12">
        <v>701.5</v>
      </c>
      <c r="P210" s="13">
        <v>1.6</v>
      </c>
      <c r="Q210" s="12">
        <v>9.65</v>
      </c>
      <c r="R210" s="12">
        <v>7</v>
      </c>
      <c r="S210" s="36">
        <f t="shared" si="11"/>
        <v>224.8</v>
      </c>
      <c r="T210" s="36" t="s">
        <v>57</v>
      </c>
      <c r="U210" s="12">
        <v>31</v>
      </c>
      <c r="V210" s="12">
        <v>230</v>
      </c>
    </row>
    <row r="211" spans="1:22" ht="12.75" customHeight="1" x14ac:dyDescent="0.3">
      <c r="A211" s="2"/>
      <c r="B211" s="23" t="str">
        <f t="shared" si="10"/>
        <v>WNRF 300# ANSI B16.47-MSS SP-44 Size 26"</v>
      </c>
      <c r="C211" s="9" t="s">
        <v>39</v>
      </c>
      <c r="D211" s="37" t="s">
        <v>86</v>
      </c>
      <c r="E211" s="9" t="s">
        <v>110</v>
      </c>
      <c r="F211" s="27" t="s">
        <v>41</v>
      </c>
      <c r="G211" s="11">
        <v>650</v>
      </c>
      <c r="H211" s="12">
        <v>971.6</v>
      </c>
      <c r="I211" s="12">
        <v>184.2</v>
      </c>
      <c r="J211" s="12">
        <v>79.2</v>
      </c>
      <c r="K211" s="12">
        <v>749.3</v>
      </c>
      <c r="L211" s="12">
        <v>876.3</v>
      </c>
      <c r="M211" s="33">
        <v>28</v>
      </c>
      <c r="N211" s="12">
        <v>44.5</v>
      </c>
      <c r="O211" s="12">
        <v>720.9</v>
      </c>
      <c r="P211" s="13">
        <v>1.6</v>
      </c>
      <c r="Q211" s="12">
        <v>9.65</v>
      </c>
      <c r="R211" s="12">
        <v>7</v>
      </c>
      <c r="S211" s="36">
        <f t="shared" si="11"/>
        <v>249.4</v>
      </c>
      <c r="T211" s="36" t="s">
        <v>87</v>
      </c>
      <c r="U211" s="12">
        <v>34</v>
      </c>
      <c r="V211" s="12">
        <v>275</v>
      </c>
    </row>
    <row r="212" spans="1:22" ht="12.75" customHeight="1" x14ac:dyDescent="0.3">
      <c r="A212" s="2"/>
      <c r="B212" s="23" t="str">
        <f t="shared" si="10"/>
        <v>WNRF 300# ANSI B16.47-MSS SP-44 Size 28"</v>
      </c>
      <c r="C212" s="9" t="s">
        <v>39</v>
      </c>
      <c r="D212" s="37" t="s">
        <v>86</v>
      </c>
      <c r="E212" s="9" t="s">
        <v>110</v>
      </c>
      <c r="F212" s="27" t="s">
        <v>44</v>
      </c>
      <c r="G212" s="11">
        <v>700</v>
      </c>
      <c r="H212" s="12">
        <v>1035.0999999999999</v>
      </c>
      <c r="I212" s="12">
        <v>196.9</v>
      </c>
      <c r="J212" s="12">
        <v>85.9</v>
      </c>
      <c r="K212" s="12">
        <v>800.1</v>
      </c>
      <c r="L212" s="12">
        <v>939.8</v>
      </c>
      <c r="M212" s="33">
        <v>28</v>
      </c>
      <c r="N212" s="12">
        <v>44.5</v>
      </c>
      <c r="O212" s="12">
        <v>774.7</v>
      </c>
      <c r="P212" s="13">
        <v>1.6</v>
      </c>
      <c r="Q212" s="12">
        <v>11.2</v>
      </c>
      <c r="R212" s="12">
        <v>7</v>
      </c>
      <c r="S212" s="36">
        <f t="shared" si="11"/>
        <v>262.8</v>
      </c>
      <c r="T212" s="36" t="s">
        <v>87</v>
      </c>
      <c r="U212" s="12">
        <v>34</v>
      </c>
      <c r="V212" s="12">
        <v>340</v>
      </c>
    </row>
    <row r="213" spans="1:22" ht="12.75" customHeight="1" x14ac:dyDescent="0.3">
      <c r="A213" s="2"/>
      <c r="B213" s="23" t="str">
        <f t="shared" si="10"/>
        <v>WNRF 300# ANSI B16.47-MSS SP-44 Size 30"</v>
      </c>
      <c r="C213" s="9" t="s">
        <v>39</v>
      </c>
      <c r="D213" s="37" t="s">
        <v>86</v>
      </c>
      <c r="E213" s="9" t="s">
        <v>110</v>
      </c>
      <c r="F213" s="27" t="s">
        <v>45</v>
      </c>
      <c r="G213" s="11">
        <v>750</v>
      </c>
      <c r="H213" s="12">
        <v>1092.2</v>
      </c>
      <c r="I213" s="12">
        <v>209.6</v>
      </c>
      <c r="J213" s="12">
        <v>91.9</v>
      </c>
      <c r="K213" s="12">
        <v>857.2</v>
      </c>
      <c r="L213" s="12">
        <v>997</v>
      </c>
      <c r="M213" s="33">
        <v>28</v>
      </c>
      <c r="N213" s="12">
        <v>47.8</v>
      </c>
      <c r="O213" s="12">
        <v>827</v>
      </c>
      <c r="P213" s="13">
        <v>1.6</v>
      </c>
      <c r="Q213" s="12">
        <v>11.2</v>
      </c>
      <c r="R213" s="12">
        <v>7</v>
      </c>
      <c r="S213" s="36">
        <f t="shared" si="11"/>
        <v>278.8</v>
      </c>
      <c r="T213" s="36" t="s">
        <v>88</v>
      </c>
      <c r="U213" s="12">
        <v>36</v>
      </c>
      <c r="V213" s="12">
        <v>389</v>
      </c>
    </row>
    <row r="214" spans="1:22" ht="12.75" customHeight="1" x14ac:dyDescent="0.3">
      <c r="A214" s="2"/>
      <c r="B214" s="23" t="str">
        <f t="shared" si="10"/>
        <v>WNRF 300# ANSI B16.47-MSS SP-44 Size 32"</v>
      </c>
      <c r="C214" s="9" t="s">
        <v>39</v>
      </c>
      <c r="D214" s="37" t="s">
        <v>86</v>
      </c>
      <c r="E214" s="9" t="s">
        <v>110</v>
      </c>
      <c r="F214" s="27" t="s">
        <v>46</v>
      </c>
      <c r="G214" s="11">
        <v>800</v>
      </c>
      <c r="H214" s="12">
        <v>1149.4000000000001</v>
      </c>
      <c r="I214" s="12">
        <v>222.3</v>
      </c>
      <c r="J214" s="12">
        <v>98.6</v>
      </c>
      <c r="K214" s="12">
        <v>914.4</v>
      </c>
      <c r="L214" s="12">
        <v>1054.0999999999999</v>
      </c>
      <c r="M214" s="33">
        <v>28</v>
      </c>
      <c r="N214" s="12">
        <v>50.8</v>
      </c>
      <c r="O214" s="12">
        <v>881.1</v>
      </c>
      <c r="P214" s="13">
        <v>1.6</v>
      </c>
      <c r="Q214" s="12">
        <v>11.2</v>
      </c>
      <c r="R214" s="12">
        <v>7</v>
      </c>
      <c r="S214" s="36">
        <f t="shared" si="11"/>
        <v>296.2</v>
      </c>
      <c r="T214" s="36" t="s">
        <v>89</v>
      </c>
      <c r="U214" s="12">
        <v>38</v>
      </c>
      <c r="V214" s="12">
        <v>438</v>
      </c>
    </row>
    <row r="215" spans="1:22" ht="12.75" customHeight="1" x14ac:dyDescent="0.3">
      <c r="A215" s="2"/>
      <c r="B215" s="23" t="str">
        <f t="shared" si="10"/>
        <v>WNRF 300# ANSI B16.47-MSS SP-44 Size 34"</v>
      </c>
      <c r="C215" s="9" t="s">
        <v>39</v>
      </c>
      <c r="D215" s="37" t="s">
        <v>86</v>
      </c>
      <c r="E215" s="9" t="s">
        <v>110</v>
      </c>
      <c r="F215" s="27" t="s">
        <v>48</v>
      </c>
      <c r="G215" s="11">
        <v>850</v>
      </c>
      <c r="H215" s="12">
        <v>1206.5</v>
      </c>
      <c r="I215" s="12">
        <v>231.6</v>
      </c>
      <c r="J215" s="12">
        <v>101.6</v>
      </c>
      <c r="K215" s="12">
        <v>965.2</v>
      </c>
      <c r="L215" s="12">
        <v>1104.9000000000001</v>
      </c>
      <c r="M215" s="33">
        <v>28</v>
      </c>
      <c r="N215" s="12">
        <v>50.8</v>
      </c>
      <c r="O215" s="12">
        <v>936.8</v>
      </c>
      <c r="P215" s="13">
        <v>1.6</v>
      </c>
      <c r="Q215" s="12">
        <v>12.7</v>
      </c>
      <c r="R215" s="12">
        <v>7</v>
      </c>
      <c r="S215" s="36">
        <f t="shared" si="11"/>
        <v>302.2</v>
      </c>
      <c r="T215" s="36" t="s">
        <v>89</v>
      </c>
      <c r="U215" s="12">
        <v>38</v>
      </c>
      <c r="V215" s="12">
        <v>498</v>
      </c>
    </row>
    <row r="216" spans="1:22" ht="12.75" customHeight="1" x14ac:dyDescent="0.3">
      <c r="A216" s="2"/>
      <c r="B216" s="23" t="str">
        <f t="shared" si="10"/>
        <v>WNRF 300# ANSI B16.47-MSS SP-44 Size 36"</v>
      </c>
      <c r="C216" s="9" t="s">
        <v>39</v>
      </c>
      <c r="D216" s="37" t="s">
        <v>86</v>
      </c>
      <c r="E216" s="9" t="s">
        <v>110</v>
      </c>
      <c r="F216" s="27" t="s">
        <v>49</v>
      </c>
      <c r="G216" s="11">
        <v>900</v>
      </c>
      <c r="H216" s="12">
        <v>1270</v>
      </c>
      <c r="I216" s="12">
        <v>241.3</v>
      </c>
      <c r="J216" s="12">
        <v>104.6</v>
      </c>
      <c r="K216" s="12">
        <v>1022.3</v>
      </c>
      <c r="L216" s="12">
        <v>1168.4000000000001</v>
      </c>
      <c r="M216" s="33">
        <v>32</v>
      </c>
      <c r="N216" s="12">
        <v>53.8</v>
      </c>
      <c r="O216" s="12">
        <v>990.6</v>
      </c>
      <c r="P216" s="13">
        <v>1.6</v>
      </c>
      <c r="Q216" s="12">
        <v>12.7</v>
      </c>
      <c r="R216" s="12">
        <v>7</v>
      </c>
      <c r="S216" s="36">
        <f t="shared" si="11"/>
        <v>308.2</v>
      </c>
      <c r="T216" s="36" t="s">
        <v>89</v>
      </c>
      <c r="U216" s="12">
        <v>38</v>
      </c>
      <c r="V216" s="12">
        <v>563</v>
      </c>
    </row>
    <row r="217" spans="1:22" ht="12.75" customHeight="1" x14ac:dyDescent="0.3">
      <c r="A217" s="2"/>
      <c r="B217" s="23" t="str">
        <f t="shared" si="10"/>
        <v>WNRF 300# ANSI B16.47-MSS SP-44 Size 38"</v>
      </c>
      <c r="C217" s="9" t="s">
        <v>39</v>
      </c>
      <c r="D217" s="37" t="s">
        <v>86</v>
      </c>
      <c r="E217" s="9" t="s">
        <v>110</v>
      </c>
      <c r="F217" s="27" t="s">
        <v>50</v>
      </c>
      <c r="G217" s="11">
        <v>950</v>
      </c>
      <c r="H217" s="12">
        <v>1168.4000000000001</v>
      </c>
      <c r="I217" s="12">
        <v>180.8</v>
      </c>
      <c r="J217" s="12">
        <v>108</v>
      </c>
      <c r="K217" s="12">
        <v>1028.7</v>
      </c>
      <c r="L217" s="12">
        <v>1092.2</v>
      </c>
      <c r="M217" s="33">
        <v>32</v>
      </c>
      <c r="N217" s="12">
        <v>41.1</v>
      </c>
      <c r="O217" s="12">
        <v>993.6</v>
      </c>
      <c r="P217" s="13">
        <v>1.6</v>
      </c>
      <c r="Q217" s="12">
        <v>12.7</v>
      </c>
      <c r="R217" s="12">
        <v>7</v>
      </c>
      <c r="S217" s="36">
        <f t="shared" si="11"/>
        <v>301</v>
      </c>
      <c r="T217" s="36" t="s">
        <v>57</v>
      </c>
      <c r="U217" s="12">
        <v>31</v>
      </c>
      <c r="V217" s="12">
        <v>307</v>
      </c>
    </row>
    <row r="218" spans="1:22" ht="12.75" customHeight="1" x14ac:dyDescent="0.3">
      <c r="A218" s="2"/>
      <c r="B218" s="23" t="str">
        <f t="shared" si="10"/>
        <v>WNRF 300# ANSI B16.47-MSS SP-44 Size 40"</v>
      </c>
      <c r="C218" s="9" t="s">
        <v>39</v>
      </c>
      <c r="D218" s="37" t="s">
        <v>86</v>
      </c>
      <c r="E218" s="9" t="s">
        <v>110</v>
      </c>
      <c r="F218" s="27" t="s">
        <v>51</v>
      </c>
      <c r="G218" s="11">
        <v>1000</v>
      </c>
      <c r="H218" s="12">
        <v>1238.3</v>
      </c>
      <c r="I218" s="12">
        <v>193.5</v>
      </c>
      <c r="J218" s="12">
        <v>114.3</v>
      </c>
      <c r="K218" s="12">
        <v>1085.8</v>
      </c>
      <c r="L218" s="12">
        <v>1155.7</v>
      </c>
      <c r="M218" s="33">
        <v>32</v>
      </c>
      <c r="N218" s="12">
        <v>44.5</v>
      </c>
      <c r="O218" s="12">
        <v>1047.8</v>
      </c>
      <c r="P218" s="13">
        <v>1.6</v>
      </c>
      <c r="Q218" s="12">
        <v>12.7</v>
      </c>
      <c r="R218" s="12">
        <v>7</v>
      </c>
      <c r="S218" s="36">
        <f t="shared" si="11"/>
        <v>319.60000000000002</v>
      </c>
      <c r="T218" s="36" t="s">
        <v>87</v>
      </c>
      <c r="U218" s="12">
        <v>34</v>
      </c>
      <c r="V218" s="12">
        <v>372</v>
      </c>
    </row>
    <row r="219" spans="1:22" ht="12.75" customHeight="1" x14ac:dyDescent="0.3">
      <c r="A219" s="2"/>
      <c r="B219" s="23" t="str">
        <f t="shared" si="10"/>
        <v>WNRF 300# ANSI B16.47-MSS SP-44 Size 42"</v>
      </c>
      <c r="C219" s="9" t="s">
        <v>39</v>
      </c>
      <c r="D219" s="37" t="s">
        <v>86</v>
      </c>
      <c r="E219" s="9" t="s">
        <v>110</v>
      </c>
      <c r="F219" s="27" t="s">
        <v>52</v>
      </c>
      <c r="G219" s="11">
        <v>1050</v>
      </c>
      <c r="H219" s="12">
        <v>1289.0999999999999</v>
      </c>
      <c r="I219" s="12">
        <v>200.2</v>
      </c>
      <c r="J219" s="12">
        <v>119.1</v>
      </c>
      <c r="K219" s="12">
        <v>1136.5999999999999</v>
      </c>
      <c r="L219" s="12">
        <v>1206.5</v>
      </c>
      <c r="M219" s="33">
        <v>32</v>
      </c>
      <c r="N219" s="12">
        <v>44.5</v>
      </c>
      <c r="O219" s="12">
        <v>1098.5999999999999</v>
      </c>
      <c r="P219" s="13">
        <v>1.6</v>
      </c>
      <c r="Q219" s="12">
        <v>12.7</v>
      </c>
      <c r="R219" s="12">
        <v>7</v>
      </c>
      <c r="S219" s="36">
        <f t="shared" si="11"/>
        <v>329.2</v>
      </c>
      <c r="T219" s="36" t="s">
        <v>87</v>
      </c>
      <c r="U219" s="12">
        <v>34</v>
      </c>
      <c r="V219" s="12">
        <v>409</v>
      </c>
    </row>
    <row r="220" spans="1:22" ht="12.75" customHeight="1" x14ac:dyDescent="0.3">
      <c r="A220" s="2"/>
      <c r="B220" s="23" t="str">
        <f t="shared" si="10"/>
        <v>WNRF 300# ANSI B16.47-MSS SP-44 Size 44"</v>
      </c>
      <c r="C220" s="9" t="s">
        <v>39</v>
      </c>
      <c r="D220" s="37" t="s">
        <v>86</v>
      </c>
      <c r="E220" s="9" t="s">
        <v>110</v>
      </c>
      <c r="F220" s="27" t="s">
        <v>53</v>
      </c>
      <c r="G220" s="11">
        <v>1100</v>
      </c>
      <c r="H220" s="12">
        <v>1352.6</v>
      </c>
      <c r="I220" s="12">
        <v>206.2</v>
      </c>
      <c r="J220" s="12">
        <v>124</v>
      </c>
      <c r="K220" s="12">
        <v>1193.8</v>
      </c>
      <c r="L220" s="12">
        <v>1263.7</v>
      </c>
      <c r="M220" s="33">
        <v>32</v>
      </c>
      <c r="N220" s="12">
        <v>47.8</v>
      </c>
      <c r="O220" s="12">
        <v>1149.4000000000001</v>
      </c>
      <c r="P220" s="13">
        <v>1.6</v>
      </c>
      <c r="Q220" s="12">
        <v>12.7</v>
      </c>
      <c r="R220" s="12">
        <v>7</v>
      </c>
      <c r="S220" s="36">
        <f t="shared" si="11"/>
        <v>343</v>
      </c>
      <c r="T220" s="36" t="s">
        <v>88</v>
      </c>
      <c r="U220" s="12">
        <v>36</v>
      </c>
      <c r="V220" s="12">
        <v>464</v>
      </c>
    </row>
    <row r="221" spans="1:22" ht="12.75" customHeight="1" x14ac:dyDescent="0.3">
      <c r="A221" s="2"/>
      <c r="B221" s="23" t="str">
        <f t="shared" si="10"/>
        <v>WNRF 300# ANSI B16.47-MSS SP-44 Size 46"</v>
      </c>
      <c r="C221" s="9" t="s">
        <v>39</v>
      </c>
      <c r="D221" s="37" t="s">
        <v>86</v>
      </c>
      <c r="E221" s="9" t="s">
        <v>110</v>
      </c>
      <c r="F221" s="27" t="s">
        <v>54</v>
      </c>
      <c r="G221" s="11">
        <v>1150</v>
      </c>
      <c r="H221" s="12">
        <v>1416.1</v>
      </c>
      <c r="I221" s="12">
        <v>215.9</v>
      </c>
      <c r="J221" s="12">
        <v>128</v>
      </c>
      <c r="K221" s="12">
        <v>1244.5999999999999</v>
      </c>
      <c r="L221" s="12">
        <v>1320.8</v>
      </c>
      <c r="M221" s="33">
        <v>28</v>
      </c>
      <c r="N221" s="12">
        <v>50.8</v>
      </c>
      <c r="O221" s="12">
        <v>1203.5</v>
      </c>
      <c r="P221" s="13">
        <v>1.6</v>
      </c>
      <c r="Q221" s="12">
        <v>12.7</v>
      </c>
      <c r="R221" s="12">
        <v>7</v>
      </c>
      <c r="S221" s="36">
        <f t="shared" si="11"/>
        <v>355</v>
      </c>
      <c r="T221" s="36" t="s">
        <v>89</v>
      </c>
      <c r="U221" s="12">
        <v>38</v>
      </c>
      <c r="V221" s="12">
        <v>544</v>
      </c>
    </row>
    <row r="222" spans="1:22" ht="12.75" customHeight="1" x14ac:dyDescent="0.3">
      <c r="A222" s="2"/>
      <c r="B222" s="23" t="str">
        <f t="shared" si="10"/>
        <v>WNRF 300# ANSI B16.47-MSS SP-44 Size 48"</v>
      </c>
      <c r="C222" s="9" t="s">
        <v>39</v>
      </c>
      <c r="D222" s="37" t="s">
        <v>86</v>
      </c>
      <c r="E222" s="9" t="s">
        <v>110</v>
      </c>
      <c r="F222" s="27" t="s">
        <v>55</v>
      </c>
      <c r="G222" s="11">
        <v>1200</v>
      </c>
      <c r="H222" s="12">
        <v>1466.9</v>
      </c>
      <c r="I222" s="12">
        <v>222.9</v>
      </c>
      <c r="J222" s="12">
        <v>133.4</v>
      </c>
      <c r="K222" s="12">
        <v>1301.7</v>
      </c>
      <c r="L222" s="12">
        <v>1371.6</v>
      </c>
      <c r="M222" s="33">
        <v>32</v>
      </c>
      <c r="N222" s="12">
        <v>50.8</v>
      </c>
      <c r="O222" s="12">
        <v>1254.3</v>
      </c>
      <c r="P222" s="13">
        <v>1.6</v>
      </c>
      <c r="Q222" s="12">
        <v>12.7</v>
      </c>
      <c r="R222" s="12">
        <v>7</v>
      </c>
      <c r="S222" s="36">
        <f t="shared" si="11"/>
        <v>365.8</v>
      </c>
      <c r="T222" s="36" t="s">
        <v>89</v>
      </c>
      <c r="U222" s="12">
        <v>38</v>
      </c>
      <c r="V222" s="12">
        <v>567</v>
      </c>
    </row>
    <row r="223" spans="1:22" ht="12.75" customHeight="1" x14ac:dyDescent="0.3">
      <c r="A223" s="2"/>
      <c r="B223" s="23" t="str">
        <f t="shared" si="10"/>
        <v>WNRF 300# ANSI B16.47-MSS SP-44 Size 50"</v>
      </c>
      <c r="C223" s="9" t="s">
        <v>39</v>
      </c>
      <c r="D223" s="37" t="s">
        <v>86</v>
      </c>
      <c r="E223" s="9" t="s">
        <v>110</v>
      </c>
      <c r="F223" s="27" t="s">
        <v>56</v>
      </c>
      <c r="G223" s="11">
        <v>1250</v>
      </c>
      <c r="H223" s="12">
        <v>1530.4</v>
      </c>
      <c r="I223" s="12">
        <v>231.6</v>
      </c>
      <c r="J223" s="12">
        <v>139.69999999999999</v>
      </c>
      <c r="K223" s="12">
        <v>1358.9</v>
      </c>
      <c r="L223" s="12">
        <v>1428.8</v>
      </c>
      <c r="M223" s="33">
        <v>32</v>
      </c>
      <c r="N223" s="12">
        <v>53.8</v>
      </c>
      <c r="O223" s="12">
        <v>1305.0999999999999</v>
      </c>
      <c r="P223" s="13">
        <v>1.6</v>
      </c>
      <c r="Q223" s="12">
        <v>12.7</v>
      </c>
      <c r="R223" s="12">
        <v>7</v>
      </c>
      <c r="S223" s="36">
        <f t="shared" si="11"/>
        <v>378.4</v>
      </c>
      <c r="T223" s="36" t="s">
        <v>89</v>
      </c>
      <c r="U223" s="12">
        <v>38</v>
      </c>
      <c r="V223" s="12">
        <v>643</v>
      </c>
    </row>
    <row r="224" spans="1:22" ht="12.75" customHeight="1" x14ac:dyDescent="0.3">
      <c r="A224" s="2"/>
      <c r="B224" s="23" t="str">
        <f t="shared" si="10"/>
        <v>WNRF 300# ANSI B16.47-MSS SP-44 Size 52"</v>
      </c>
      <c r="C224" s="9" t="s">
        <v>39</v>
      </c>
      <c r="D224" s="37" t="s">
        <v>86</v>
      </c>
      <c r="E224" s="9" t="s">
        <v>110</v>
      </c>
      <c r="F224" s="27" t="s">
        <v>58</v>
      </c>
      <c r="G224" s="11">
        <v>1300</v>
      </c>
      <c r="H224" s="12">
        <v>1581.2</v>
      </c>
      <c r="I224" s="12">
        <v>238.3</v>
      </c>
      <c r="J224" s="12">
        <v>144.5</v>
      </c>
      <c r="K224" s="12">
        <v>1409.7</v>
      </c>
      <c r="L224" s="12">
        <v>1479.6</v>
      </c>
      <c r="M224" s="33">
        <v>32</v>
      </c>
      <c r="N224" s="12">
        <v>53.8</v>
      </c>
      <c r="O224" s="12">
        <v>1355.9</v>
      </c>
      <c r="P224" s="13">
        <v>1.6</v>
      </c>
      <c r="Q224" s="12">
        <v>12.7</v>
      </c>
      <c r="R224" s="12">
        <v>7</v>
      </c>
      <c r="S224" s="36">
        <f t="shared" si="11"/>
        <v>388</v>
      </c>
      <c r="T224" s="36" t="s">
        <v>89</v>
      </c>
      <c r="U224" s="12">
        <v>38</v>
      </c>
      <c r="V224" s="12">
        <v>694</v>
      </c>
    </row>
    <row r="225" spans="1:25" ht="12.75" customHeight="1" x14ac:dyDescent="0.3">
      <c r="A225" s="2"/>
      <c r="B225" s="23" t="str">
        <f t="shared" si="10"/>
        <v>WNRF 300# ANSI B16.47-MSS SP-44 Size 54"</v>
      </c>
      <c r="C225" s="9" t="s">
        <v>39</v>
      </c>
      <c r="D225" s="37" t="s">
        <v>86</v>
      </c>
      <c r="E225" s="9" t="s">
        <v>110</v>
      </c>
      <c r="F225" s="27" t="s">
        <v>59</v>
      </c>
      <c r="G225" s="11">
        <v>1350</v>
      </c>
      <c r="H225" s="12">
        <v>1657.4</v>
      </c>
      <c r="I225" s="12">
        <v>252.5</v>
      </c>
      <c r="J225" s="12">
        <v>152.4</v>
      </c>
      <c r="K225" s="12">
        <v>1466.8</v>
      </c>
      <c r="L225" s="12">
        <v>1549.4</v>
      </c>
      <c r="M225" s="33">
        <v>28</v>
      </c>
      <c r="N225" s="12">
        <v>60.5</v>
      </c>
      <c r="O225" s="12">
        <v>1409.7</v>
      </c>
      <c r="P225" s="13">
        <v>1.6</v>
      </c>
      <c r="Q225" s="12">
        <v>12.7</v>
      </c>
      <c r="R225" s="12">
        <v>7</v>
      </c>
      <c r="S225" s="36">
        <f t="shared" si="11"/>
        <v>417.8</v>
      </c>
      <c r="T225" s="36" t="s">
        <v>93</v>
      </c>
      <c r="U225" s="12">
        <v>45</v>
      </c>
      <c r="V225" s="12">
        <v>832</v>
      </c>
    </row>
    <row r="226" spans="1:25" ht="12.75" customHeight="1" x14ac:dyDescent="0.3">
      <c r="A226" s="2"/>
      <c r="B226" s="23" t="str">
        <f t="shared" si="10"/>
        <v>WNRF 300# ANSI B16.47-MSS SP-44 Size 56"</v>
      </c>
      <c r="C226" s="9" t="s">
        <v>39</v>
      </c>
      <c r="D226" s="37" t="s">
        <v>86</v>
      </c>
      <c r="E226" s="9" t="s">
        <v>110</v>
      </c>
      <c r="F226" s="27" t="s">
        <v>104</v>
      </c>
      <c r="G226" s="11">
        <v>1400</v>
      </c>
      <c r="H226" s="12">
        <v>1708.2</v>
      </c>
      <c r="I226" s="12">
        <v>260.39999999999998</v>
      </c>
      <c r="J226" s="12">
        <v>153.9</v>
      </c>
      <c r="K226" s="12">
        <v>1517.6</v>
      </c>
      <c r="L226" s="12">
        <v>1600.2</v>
      </c>
      <c r="M226" s="33">
        <v>28</v>
      </c>
      <c r="N226" s="12">
        <v>60.5</v>
      </c>
      <c r="O226" s="12">
        <v>1463.5</v>
      </c>
      <c r="P226" s="13">
        <v>1.6</v>
      </c>
      <c r="Q226" s="12">
        <v>12.7</v>
      </c>
      <c r="R226" s="12">
        <v>7</v>
      </c>
      <c r="S226" s="36">
        <f t="shared" si="11"/>
        <v>420.8</v>
      </c>
      <c r="T226" s="36" t="s">
        <v>93</v>
      </c>
      <c r="U226" s="12">
        <v>45</v>
      </c>
      <c r="V226" s="12">
        <v>882</v>
      </c>
    </row>
    <row r="227" spans="1:25" ht="12.75" customHeight="1" x14ac:dyDescent="0.3">
      <c r="A227" s="2"/>
      <c r="B227" s="23" t="str">
        <f t="shared" si="10"/>
        <v>WNRF 300# ANSI B16.47-MSS SP-44 Size 58"</v>
      </c>
      <c r="C227" s="9" t="s">
        <v>39</v>
      </c>
      <c r="D227" s="37" t="s">
        <v>86</v>
      </c>
      <c r="E227" s="9" t="s">
        <v>110</v>
      </c>
      <c r="F227" s="27" t="s">
        <v>105</v>
      </c>
      <c r="G227" s="11">
        <v>1450</v>
      </c>
      <c r="H227" s="12">
        <v>1759</v>
      </c>
      <c r="I227" s="12">
        <v>266.7</v>
      </c>
      <c r="J227" s="12">
        <v>158.80000000000001</v>
      </c>
      <c r="K227" s="12">
        <v>1574.8</v>
      </c>
      <c r="L227" s="12">
        <v>1651</v>
      </c>
      <c r="M227" s="33">
        <v>32</v>
      </c>
      <c r="N227" s="12">
        <v>60.5</v>
      </c>
      <c r="O227" s="12">
        <v>1514.3</v>
      </c>
      <c r="P227" s="13">
        <v>1.6</v>
      </c>
      <c r="Q227" s="12">
        <v>12.7</v>
      </c>
      <c r="R227" s="12">
        <v>7</v>
      </c>
      <c r="S227" s="36">
        <f t="shared" si="11"/>
        <v>430.6</v>
      </c>
      <c r="T227" s="36" t="s">
        <v>93</v>
      </c>
      <c r="U227" s="12">
        <v>45</v>
      </c>
      <c r="V227" s="12">
        <v>928</v>
      </c>
    </row>
    <row r="228" spans="1:25" ht="12.75" customHeight="1" x14ac:dyDescent="0.3">
      <c r="A228" s="2"/>
      <c r="B228" s="23" t="str">
        <f t="shared" si="10"/>
        <v>WNRF 300# ANSI B16.47-MSS SP-44 Size 60"</v>
      </c>
      <c r="C228" s="9" t="s">
        <v>39</v>
      </c>
      <c r="D228" s="37" t="s">
        <v>86</v>
      </c>
      <c r="E228" s="9" t="s">
        <v>110</v>
      </c>
      <c r="F228" s="27" t="s">
        <v>60</v>
      </c>
      <c r="G228" s="11">
        <v>1500</v>
      </c>
      <c r="H228" s="12">
        <v>1809.8</v>
      </c>
      <c r="I228" s="12">
        <v>273.10000000000002</v>
      </c>
      <c r="J228" s="12">
        <v>163.6</v>
      </c>
      <c r="K228" s="12">
        <v>1625.6</v>
      </c>
      <c r="L228" s="12">
        <v>1701.8</v>
      </c>
      <c r="M228" s="33">
        <v>32</v>
      </c>
      <c r="N228" s="12">
        <v>60.5</v>
      </c>
      <c r="O228" s="12">
        <v>1565.1</v>
      </c>
      <c r="P228" s="13">
        <v>1.6</v>
      </c>
      <c r="Q228" s="12">
        <v>12.7</v>
      </c>
      <c r="R228" s="12">
        <v>7</v>
      </c>
      <c r="S228" s="36">
        <f t="shared" si="11"/>
        <v>440.2</v>
      </c>
      <c r="T228" s="36" t="s">
        <v>93</v>
      </c>
      <c r="U228" s="12">
        <v>45</v>
      </c>
      <c r="V228" s="12">
        <v>989</v>
      </c>
    </row>
    <row r="229" spans="1:25" ht="12.75" customHeight="1" x14ac:dyDescent="0.3">
      <c r="A229" s="2"/>
      <c r="B229" s="22" t="str">
        <f t="shared" si="10"/>
        <v>WNRF 400# ANSI B16.47-MSS SP-44 Size 12"</v>
      </c>
      <c r="C229" s="9" t="s">
        <v>39</v>
      </c>
      <c r="D229" s="37" t="s">
        <v>91</v>
      </c>
      <c r="E229" s="9" t="s">
        <v>110</v>
      </c>
      <c r="F229" s="27" t="s">
        <v>77</v>
      </c>
      <c r="G229" s="11">
        <v>300</v>
      </c>
      <c r="H229" s="12">
        <v>323.8</v>
      </c>
      <c r="I229" s="13">
        <v>143.1</v>
      </c>
      <c r="J229" s="13">
        <v>63.6</v>
      </c>
      <c r="K229" s="12" t="s">
        <v>42</v>
      </c>
      <c r="L229" s="12">
        <v>450.9</v>
      </c>
      <c r="M229" s="33">
        <v>16</v>
      </c>
      <c r="N229" s="12">
        <v>35.1</v>
      </c>
      <c r="O229" s="12">
        <v>374.7</v>
      </c>
      <c r="P229" s="13">
        <v>6.4</v>
      </c>
      <c r="Q229" s="12">
        <v>9.65</v>
      </c>
      <c r="R229" s="12">
        <v>6</v>
      </c>
      <c r="S229" s="36">
        <f t="shared" si="11"/>
        <v>201.2</v>
      </c>
      <c r="T229" s="36" t="s">
        <v>43</v>
      </c>
      <c r="U229" s="12">
        <v>26</v>
      </c>
      <c r="V229" s="12">
        <v>70</v>
      </c>
      <c r="Y229" s="14"/>
    </row>
    <row r="230" spans="1:25" ht="12.75" customHeight="1" x14ac:dyDescent="0.3">
      <c r="A230" s="2"/>
      <c r="B230" s="23" t="str">
        <f t="shared" si="10"/>
        <v>WNRF 400# ANSI B16.47-MSS SP-44 Size 14"</v>
      </c>
      <c r="C230" s="9" t="s">
        <v>39</v>
      </c>
      <c r="D230" s="37" t="s">
        <v>91</v>
      </c>
      <c r="E230" s="9" t="s">
        <v>110</v>
      </c>
      <c r="F230" s="27" t="s">
        <v>78</v>
      </c>
      <c r="G230" s="11">
        <v>350</v>
      </c>
      <c r="H230" s="12">
        <v>355.6</v>
      </c>
      <c r="I230" s="13">
        <v>155.80000000000001</v>
      </c>
      <c r="J230" s="13">
        <v>66.900000000000006</v>
      </c>
      <c r="K230" s="12" t="s">
        <v>42</v>
      </c>
      <c r="L230" s="12">
        <v>514.4</v>
      </c>
      <c r="M230" s="33">
        <v>20</v>
      </c>
      <c r="N230" s="12">
        <v>35.1</v>
      </c>
      <c r="O230" s="12">
        <v>425.5</v>
      </c>
      <c r="P230" s="13">
        <v>6.4</v>
      </c>
      <c r="Q230" s="12">
        <v>9.65</v>
      </c>
      <c r="R230" s="12">
        <v>7</v>
      </c>
      <c r="S230" s="36">
        <f t="shared" si="11"/>
        <v>208.8</v>
      </c>
      <c r="T230" s="36" t="s">
        <v>43</v>
      </c>
      <c r="U230" s="12">
        <v>26</v>
      </c>
      <c r="V230" s="12">
        <v>96</v>
      </c>
      <c r="Y230" s="14"/>
    </row>
    <row r="231" spans="1:25" ht="12.75" customHeight="1" x14ac:dyDescent="0.3">
      <c r="A231" s="2"/>
      <c r="B231" s="23" t="str">
        <f t="shared" si="10"/>
        <v>WNRF 400# ANSI B16.47-MSS SP-44 Size 16"</v>
      </c>
      <c r="C231" s="9" t="s">
        <v>39</v>
      </c>
      <c r="D231" s="37" t="s">
        <v>91</v>
      </c>
      <c r="E231" s="9" t="s">
        <v>110</v>
      </c>
      <c r="F231" s="27" t="s">
        <v>80</v>
      </c>
      <c r="G231" s="11">
        <v>400</v>
      </c>
      <c r="H231" s="12">
        <v>406.4</v>
      </c>
      <c r="I231" s="13">
        <v>158.80000000000001</v>
      </c>
      <c r="J231" s="13">
        <v>69.900000000000006</v>
      </c>
      <c r="K231" s="12" t="s">
        <v>42</v>
      </c>
      <c r="L231" s="12">
        <v>571.5</v>
      </c>
      <c r="M231" s="33">
        <v>20</v>
      </c>
      <c r="N231" s="12">
        <v>38.1</v>
      </c>
      <c r="O231" s="12">
        <v>482.6</v>
      </c>
      <c r="P231" s="13">
        <v>6.4</v>
      </c>
      <c r="Q231" s="12">
        <v>9.65</v>
      </c>
      <c r="R231" s="12">
        <v>7</v>
      </c>
      <c r="S231" s="36">
        <f t="shared" si="11"/>
        <v>220.8</v>
      </c>
      <c r="T231" s="36" t="s">
        <v>47</v>
      </c>
      <c r="U231" s="12">
        <v>29</v>
      </c>
      <c r="V231" s="12">
        <v>118</v>
      </c>
      <c r="Y231" s="14"/>
    </row>
    <row r="232" spans="1:25" ht="12.75" customHeight="1" x14ac:dyDescent="0.3">
      <c r="A232" s="2"/>
      <c r="B232" s="23" t="str">
        <f t="shared" si="10"/>
        <v>WNRF 400# ANSI B16.47-MSS SP-44 Size 18"</v>
      </c>
      <c r="C232" s="9" t="s">
        <v>39</v>
      </c>
      <c r="D232" s="37" t="s">
        <v>91</v>
      </c>
      <c r="E232" s="9" t="s">
        <v>110</v>
      </c>
      <c r="F232" s="27" t="s">
        <v>81</v>
      </c>
      <c r="G232" s="11">
        <v>450</v>
      </c>
      <c r="H232" s="12">
        <v>457.2</v>
      </c>
      <c r="I232" s="13">
        <v>171.5</v>
      </c>
      <c r="J232" s="13">
        <v>72.900000000000006</v>
      </c>
      <c r="K232" s="12" t="s">
        <v>42</v>
      </c>
      <c r="L232" s="12">
        <v>628.70000000000005</v>
      </c>
      <c r="M232" s="33">
        <v>24</v>
      </c>
      <c r="N232" s="12">
        <v>38.1</v>
      </c>
      <c r="O232" s="12">
        <v>533.4</v>
      </c>
      <c r="P232" s="13">
        <v>6.4</v>
      </c>
      <c r="Q232" s="12">
        <v>9.65</v>
      </c>
      <c r="R232" s="12">
        <v>7</v>
      </c>
      <c r="S232" s="36">
        <f t="shared" si="11"/>
        <v>226.8</v>
      </c>
      <c r="T232" s="36" t="s">
        <v>47</v>
      </c>
      <c r="U232" s="12">
        <v>29</v>
      </c>
      <c r="V232" s="12">
        <v>145</v>
      </c>
      <c r="Y232" s="14"/>
    </row>
    <row r="233" spans="1:25" ht="12.75" customHeight="1" x14ac:dyDescent="0.3">
      <c r="A233" s="2"/>
      <c r="B233" s="23" t="str">
        <f t="shared" si="10"/>
        <v>WNRF 400# ANSI B16.47-MSS SP-44 Size 20"</v>
      </c>
      <c r="C233" s="9" t="s">
        <v>39</v>
      </c>
      <c r="D233" s="37" t="s">
        <v>91</v>
      </c>
      <c r="E233" s="9" t="s">
        <v>110</v>
      </c>
      <c r="F233" s="27" t="s">
        <v>83</v>
      </c>
      <c r="G233" s="11">
        <v>500</v>
      </c>
      <c r="H233" s="12">
        <v>508</v>
      </c>
      <c r="I233" s="13">
        <v>174.5</v>
      </c>
      <c r="J233" s="13">
        <v>76.3</v>
      </c>
      <c r="K233" s="12" t="s">
        <v>42</v>
      </c>
      <c r="L233" s="12">
        <v>685.8</v>
      </c>
      <c r="M233" s="33">
        <v>24</v>
      </c>
      <c r="N233" s="12">
        <v>41.1</v>
      </c>
      <c r="O233" s="12">
        <v>587.20000000000005</v>
      </c>
      <c r="P233" s="13">
        <v>6.4</v>
      </c>
      <c r="Q233" s="12">
        <v>9.65</v>
      </c>
      <c r="R233" s="12">
        <v>7</v>
      </c>
      <c r="S233" s="36">
        <f t="shared" si="11"/>
        <v>237.6</v>
      </c>
      <c r="T233" s="36" t="s">
        <v>57</v>
      </c>
      <c r="U233" s="12">
        <v>31</v>
      </c>
      <c r="V233" s="12">
        <v>173</v>
      </c>
      <c r="Y233" s="14"/>
    </row>
    <row r="234" spans="1:25" ht="12.75" customHeight="1" x14ac:dyDescent="0.3">
      <c r="A234" s="2"/>
      <c r="B234" s="23" t="str">
        <f t="shared" si="10"/>
        <v>WNRF 400# ANSI B16.47-MSS SP-44 Size 22"</v>
      </c>
      <c r="C234" s="9" t="s">
        <v>39</v>
      </c>
      <c r="D234" s="37" t="s">
        <v>91</v>
      </c>
      <c r="E234" s="9" t="s">
        <v>110</v>
      </c>
      <c r="F234" s="27" t="s">
        <v>84</v>
      </c>
      <c r="G234" s="11">
        <v>550</v>
      </c>
      <c r="H234" s="12">
        <v>558.79999999999995</v>
      </c>
      <c r="I234" s="13">
        <v>177.9</v>
      </c>
      <c r="J234" s="13">
        <v>79.599999999999994</v>
      </c>
      <c r="K234" s="12" t="s">
        <v>42</v>
      </c>
      <c r="L234" s="12">
        <v>743</v>
      </c>
      <c r="M234" s="33">
        <v>24</v>
      </c>
      <c r="N234" s="12">
        <v>44.5</v>
      </c>
      <c r="O234" s="12">
        <v>641.4</v>
      </c>
      <c r="P234" s="13">
        <v>6.4</v>
      </c>
      <c r="Q234" s="12">
        <v>9.65</v>
      </c>
      <c r="R234" s="12">
        <v>7</v>
      </c>
      <c r="S234" s="36">
        <f t="shared" si="11"/>
        <v>250.2</v>
      </c>
      <c r="T234" s="36" t="s">
        <v>87</v>
      </c>
      <c r="U234" s="12">
        <v>34</v>
      </c>
      <c r="V234" s="12">
        <v>211</v>
      </c>
      <c r="Y234" s="14"/>
    </row>
    <row r="235" spans="1:25" ht="12.75" customHeight="1" x14ac:dyDescent="0.3">
      <c r="A235" s="2"/>
      <c r="B235" s="23" t="str">
        <f t="shared" si="10"/>
        <v>WNRF 400# ANSI B16.47-MSS SP-44 Size 24"</v>
      </c>
      <c r="C235" s="9" t="s">
        <v>39</v>
      </c>
      <c r="D235" s="37" t="s">
        <v>91</v>
      </c>
      <c r="E235" s="9" t="s">
        <v>110</v>
      </c>
      <c r="F235" s="27" t="s">
        <v>85</v>
      </c>
      <c r="G235" s="11">
        <v>600</v>
      </c>
      <c r="H235" s="12">
        <v>609.6</v>
      </c>
      <c r="I235" s="13">
        <v>181.2</v>
      </c>
      <c r="J235" s="13">
        <v>82.6</v>
      </c>
      <c r="K235" s="12" t="s">
        <v>42</v>
      </c>
      <c r="L235" s="12">
        <v>812.8</v>
      </c>
      <c r="M235" s="33">
        <v>24</v>
      </c>
      <c r="N235" s="12">
        <v>47.8</v>
      </c>
      <c r="O235" s="12">
        <v>701.5</v>
      </c>
      <c r="P235" s="13">
        <v>6.4</v>
      </c>
      <c r="Q235" s="12">
        <v>9.65</v>
      </c>
      <c r="R235" s="12">
        <v>7</v>
      </c>
      <c r="S235" s="36">
        <f t="shared" si="11"/>
        <v>260.2</v>
      </c>
      <c r="T235" s="36" t="s">
        <v>88</v>
      </c>
      <c r="U235" s="12">
        <v>36</v>
      </c>
      <c r="V235" s="12">
        <v>249</v>
      </c>
      <c r="Y235" s="14"/>
    </row>
    <row r="236" spans="1:25" ht="12.75" customHeight="1" x14ac:dyDescent="0.3">
      <c r="A236" s="2"/>
      <c r="B236" s="23" t="str">
        <f t="shared" si="10"/>
        <v>WNRF 400# ANSI B16.47-MSS SP-44 Size 26"</v>
      </c>
      <c r="C236" s="9" t="s">
        <v>39</v>
      </c>
      <c r="D236" s="37" t="s">
        <v>91</v>
      </c>
      <c r="E236" s="9" t="s">
        <v>110</v>
      </c>
      <c r="F236" s="27" t="s">
        <v>41</v>
      </c>
      <c r="G236" s="11">
        <v>650</v>
      </c>
      <c r="H236" s="12">
        <v>660.4</v>
      </c>
      <c r="I236" s="13">
        <v>199.9</v>
      </c>
      <c r="J236" s="13">
        <v>95.3</v>
      </c>
      <c r="K236" s="12">
        <v>749.3</v>
      </c>
      <c r="L236" s="12">
        <v>876.3</v>
      </c>
      <c r="M236" s="33">
        <v>28</v>
      </c>
      <c r="N236" s="12">
        <v>47.8</v>
      </c>
      <c r="O236" s="12">
        <v>726.9</v>
      </c>
      <c r="P236" s="13">
        <v>6.4</v>
      </c>
      <c r="Q236" s="12">
        <v>9.65</v>
      </c>
      <c r="R236" s="12">
        <v>7</v>
      </c>
      <c r="S236" s="36">
        <f t="shared" si="11"/>
        <v>285.60000000000002</v>
      </c>
      <c r="T236" s="36" t="s">
        <v>88</v>
      </c>
      <c r="U236" s="12">
        <v>36</v>
      </c>
      <c r="V236" s="12">
        <v>304</v>
      </c>
      <c r="Y236" s="14"/>
    </row>
    <row r="237" spans="1:25" ht="12.75" customHeight="1" x14ac:dyDescent="0.3">
      <c r="A237" s="2"/>
      <c r="B237" s="23" t="str">
        <f t="shared" si="10"/>
        <v>WNRF 400# ANSI B16.47-MSS SP-44 Size 28"</v>
      </c>
      <c r="C237" s="9" t="s">
        <v>39</v>
      </c>
      <c r="D237" s="37" t="s">
        <v>91</v>
      </c>
      <c r="E237" s="9" t="s">
        <v>110</v>
      </c>
      <c r="F237" s="27" t="s">
        <v>44</v>
      </c>
      <c r="G237" s="11">
        <v>700</v>
      </c>
      <c r="H237" s="12">
        <v>711.2</v>
      </c>
      <c r="I237" s="13">
        <v>212.6</v>
      </c>
      <c r="J237" s="13">
        <v>101.7</v>
      </c>
      <c r="K237" s="12">
        <v>800.1</v>
      </c>
      <c r="L237" s="12">
        <v>939.8</v>
      </c>
      <c r="M237" s="33">
        <v>28</v>
      </c>
      <c r="N237" s="12">
        <v>50.8</v>
      </c>
      <c r="O237" s="12">
        <v>782.6</v>
      </c>
      <c r="P237" s="13">
        <v>6.4</v>
      </c>
      <c r="Q237" s="12">
        <v>11.2</v>
      </c>
      <c r="R237" s="12">
        <v>7</v>
      </c>
      <c r="S237" s="36">
        <f t="shared" si="11"/>
        <v>302.39999999999998</v>
      </c>
      <c r="T237" s="36" t="s">
        <v>89</v>
      </c>
      <c r="U237" s="12">
        <v>38</v>
      </c>
      <c r="V237" s="12">
        <v>362</v>
      </c>
      <c r="Y237" s="14"/>
    </row>
    <row r="238" spans="1:25" ht="12.75" customHeight="1" x14ac:dyDescent="0.3">
      <c r="A238" s="2"/>
      <c r="B238" s="23" t="str">
        <f t="shared" si="10"/>
        <v>WNRF 400# ANSI B16.47-MSS SP-44 Size 30"</v>
      </c>
      <c r="C238" s="9" t="s">
        <v>39</v>
      </c>
      <c r="D238" s="37" t="s">
        <v>91</v>
      </c>
      <c r="E238" s="9" t="s">
        <v>110</v>
      </c>
      <c r="F238" s="27" t="s">
        <v>45</v>
      </c>
      <c r="G238" s="11">
        <v>750</v>
      </c>
      <c r="H238" s="12">
        <v>762</v>
      </c>
      <c r="I238" s="13">
        <v>225.3</v>
      </c>
      <c r="J238" s="13">
        <v>108</v>
      </c>
      <c r="K238" s="12">
        <v>857.2</v>
      </c>
      <c r="L238" s="12">
        <v>997</v>
      </c>
      <c r="M238" s="33">
        <v>28</v>
      </c>
      <c r="N238" s="12">
        <v>53.8</v>
      </c>
      <c r="O238" s="12">
        <v>836.7</v>
      </c>
      <c r="P238" s="13">
        <v>6.4</v>
      </c>
      <c r="Q238" s="12">
        <v>11.2</v>
      </c>
      <c r="R238" s="12">
        <v>7</v>
      </c>
      <c r="S238" s="36">
        <f t="shared" si="11"/>
        <v>315</v>
      </c>
      <c r="T238" s="36" t="s">
        <v>89</v>
      </c>
      <c r="U238" s="12">
        <v>38</v>
      </c>
      <c r="V238" s="12">
        <v>415</v>
      </c>
      <c r="Y238" s="14"/>
    </row>
    <row r="239" spans="1:25" ht="12.75" customHeight="1" x14ac:dyDescent="0.3">
      <c r="A239" s="2"/>
      <c r="B239" s="23" t="str">
        <f t="shared" si="10"/>
        <v>WNRF 400# ANSI B16.47-MSS SP-44 Size 32"</v>
      </c>
      <c r="C239" s="9" t="s">
        <v>39</v>
      </c>
      <c r="D239" s="37" t="s">
        <v>91</v>
      </c>
      <c r="E239" s="9" t="s">
        <v>110</v>
      </c>
      <c r="F239" s="27" t="s">
        <v>46</v>
      </c>
      <c r="G239" s="11">
        <v>800</v>
      </c>
      <c r="H239" s="12">
        <v>812.8</v>
      </c>
      <c r="I239" s="13">
        <v>238</v>
      </c>
      <c r="J239" s="13">
        <v>114.4</v>
      </c>
      <c r="K239" s="12">
        <v>914.4</v>
      </c>
      <c r="L239" s="12">
        <v>1054.0999999999999</v>
      </c>
      <c r="M239" s="33">
        <v>28</v>
      </c>
      <c r="N239" s="12">
        <v>53.8</v>
      </c>
      <c r="O239" s="12">
        <v>889</v>
      </c>
      <c r="P239" s="13">
        <v>6.4</v>
      </c>
      <c r="Q239" s="12">
        <v>11.2</v>
      </c>
      <c r="R239" s="12">
        <v>7</v>
      </c>
      <c r="S239" s="36">
        <f t="shared" si="11"/>
        <v>327.8</v>
      </c>
      <c r="T239" s="36" t="s">
        <v>89</v>
      </c>
      <c r="U239" s="12">
        <v>38</v>
      </c>
      <c r="V239" s="12">
        <v>478</v>
      </c>
      <c r="Y239" s="14"/>
    </row>
    <row r="240" spans="1:25" ht="12.75" customHeight="1" x14ac:dyDescent="0.3">
      <c r="A240" s="2"/>
      <c r="B240" s="23" t="str">
        <f t="shared" si="10"/>
        <v>WNRF 400# ANSI B16.47-MSS SP-44 Size 34"</v>
      </c>
      <c r="C240" s="9" t="s">
        <v>39</v>
      </c>
      <c r="D240" s="37" t="s">
        <v>91</v>
      </c>
      <c r="E240" s="9" t="s">
        <v>110</v>
      </c>
      <c r="F240" s="27" t="s">
        <v>48</v>
      </c>
      <c r="G240" s="11">
        <v>850</v>
      </c>
      <c r="H240" s="12">
        <v>863.6</v>
      </c>
      <c r="I240" s="13">
        <v>247.7</v>
      </c>
      <c r="J240" s="13">
        <v>117.7</v>
      </c>
      <c r="K240" s="12">
        <v>965.2</v>
      </c>
      <c r="L240" s="12">
        <v>1104.9000000000001</v>
      </c>
      <c r="M240" s="33">
        <v>28</v>
      </c>
      <c r="N240" s="12">
        <v>53.8</v>
      </c>
      <c r="O240" s="12">
        <v>944.6</v>
      </c>
      <c r="P240" s="13">
        <v>6.4</v>
      </c>
      <c r="Q240" s="12">
        <v>12.7</v>
      </c>
      <c r="R240" s="12">
        <v>7</v>
      </c>
      <c r="S240" s="36">
        <f t="shared" si="11"/>
        <v>334.4</v>
      </c>
      <c r="T240" s="36" t="s">
        <v>89</v>
      </c>
      <c r="U240" s="12">
        <v>38</v>
      </c>
      <c r="V240" s="12">
        <v>538</v>
      </c>
      <c r="Y240" s="14"/>
    </row>
    <row r="241" spans="1:25" ht="12.75" customHeight="1" x14ac:dyDescent="0.3">
      <c r="A241" s="2"/>
      <c r="B241" s="23" t="str">
        <f t="shared" si="10"/>
        <v>WNRF 400# ANSI B16.47-MSS SP-44 Size 36"</v>
      </c>
      <c r="C241" s="9" t="s">
        <v>39</v>
      </c>
      <c r="D241" s="37" t="s">
        <v>91</v>
      </c>
      <c r="E241" s="9" t="s">
        <v>110</v>
      </c>
      <c r="F241" s="27" t="s">
        <v>49</v>
      </c>
      <c r="G241" s="11">
        <v>900</v>
      </c>
      <c r="H241" s="12">
        <v>914.4</v>
      </c>
      <c r="I241" s="13">
        <v>257.39999999999998</v>
      </c>
      <c r="J241" s="13">
        <v>120.7</v>
      </c>
      <c r="K241" s="12">
        <v>1022.3</v>
      </c>
      <c r="L241" s="12">
        <v>1168.4000000000001</v>
      </c>
      <c r="M241" s="33">
        <v>32</v>
      </c>
      <c r="N241" s="12">
        <v>53.8</v>
      </c>
      <c r="O241" s="12">
        <v>1000.3</v>
      </c>
      <c r="P241" s="13">
        <v>6.4</v>
      </c>
      <c r="Q241" s="12">
        <v>12.7</v>
      </c>
      <c r="R241" s="12">
        <v>7</v>
      </c>
      <c r="S241" s="36">
        <f t="shared" si="11"/>
        <v>340.4</v>
      </c>
      <c r="T241" s="36" t="s">
        <v>89</v>
      </c>
      <c r="U241" s="12">
        <v>38</v>
      </c>
      <c r="V241" s="12">
        <v>604</v>
      </c>
      <c r="Y241" s="14"/>
    </row>
    <row r="242" spans="1:25" ht="12.75" customHeight="1" x14ac:dyDescent="0.3">
      <c r="A242" s="2"/>
      <c r="B242" s="23" t="str">
        <f t="shared" ref="B242:B305" si="12">CONCATENATE(C242,D242,$C$1,E242,$C$1,$F$1,$C$1,F242)</f>
        <v>WNRF 400# ANSI B16.47-MSS SP-44 Size 38"</v>
      </c>
      <c r="C242" s="9" t="s">
        <v>39</v>
      </c>
      <c r="D242" s="37" t="s">
        <v>91</v>
      </c>
      <c r="E242" s="9" t="s">
        <v>110</v>
      </c>
      <c r="F242" s="27" t="s">
        <v>50</v>
      </c>
      <c r="G242" s="11">
        <v>950</v>
      </c>
      <c r="H242" s="12">
        <v>965.2</v>
      </c>
      <c r="I242" s="13">
        <v>212.6</v>
      </c>
      <c r="J242" s="13">
        <v>130.4</v>
      </c>
      <c r="K242" s="12">
        <v>1035</v>
      </c>
      <c r="L242" s="12">
        <v>1117.5999999999999</v>
      </c>
      <c r="M242" s="33">
        <v>32</v>
      </c>
      <c r="N242" s="12">
        <v>47.8</v>
      </c>
      <c r="O242" s="12">
        <v>1000.3</v>
      </c>
      <c r="P242" s="13">
        <v>6.4</v>
      </c>
      <c r="Q242" s="12">
        <v>12.7</v>
      </c>
      <c r="R242" s="12">
        <v>7</v>
      </c>
      <c r="S242" s="36">
        <f t="shared" si="11"/>
        <v>355.8</v>
      </c>
      <c r="T242" s="36" t="s">
        <v>88</v>
      </c>
      <c r="U242" s="12">
        <v>36</v>
      </c>
      <c r="V242" s="12">
        <v>406</v>
      </c>
      <c r="Y242" s="14"/>
    </row>
    <row r="243" spans="1:25" ht="12.75" customHeight="1" x14ac:dyDescent="0.3">
      <c r="A243" s="2"/>
      <c r="B243" s="23" t="str">
        <f t="shared" si="12"/>
        <v>WNRF 400# ANSI B16.47-MSS SP-44 Size 40"</v>
      </c>
      <c r="C243" s="9" t="s">
        <v>39</v>
      </c>
      <c r="D243" s="37" t="s">
        <v>91</v>
      </c>
      <c r="E243" s="9" t="s">
        <v>110</v>
      </c>
      <c r="F243" s="27" t="s">
        <v>51</v>
      </c>
      <c r="G243" s="11">
        <v>1000</v>
      </c>
      <c r="H243" s="12">
        <v>1016</v>
      </c>
      <c r="I243" s="13">
        <v>222.3</v>
      </c>
      <c r="J243" s="13">
        <v>136.4</v>
      </c>
      <c r="K243" s="12">
        <v>1092.2</v>
      </c>
      <c r="L243" s="12">
        <v>1174.8</v>
      </c>
      <c r="M243" s="33">
        <v>32</v>
      </c>
      <c r="N243" s="12">
        <v>50.8</v>
      </c>
      <c r="O243" s="12">
        <v>1054.0999999999999</v>
      </c>
      <c r="P243" s="13">
        <v>6.4</v>
      </c>
      <c r="Q243" s="12">
        <v>12.7</v>
      </c>
      <c r="R243" s="12">
        <v>7</v>
      </c>
      <c r="S243" s="36">
        <f t="shared" si="11"/>
        <v>371.8</v>
      </c>
      <c r="T243" s="36" t="s">
        <v>89</v>
      </c>
      <c r="U243" s="12">
        <v>38</v>
      </c>
      <c r="V243" s="12">
        <v>473</v>
      </c>
      <c r="Y243" s="14"/>
    </row>
    <row r="244" spans="1:25" ht="12.75" customHeight="1" x14ac:dyDescent="0.3">
      <c r="A244" s="2"/>
      <c r="B244" s="23" t="str">
        <f t="shared" si="12"/>
        <v>WNRF 400# ANSI B16.47-MSS SP-44 Size 42"</v>
      </c>
      <c r="C244" s="9" t="s">
        <v>39</v>
      </c>
      <c r="D244" s="37" t="s">
        <v>91</v>
      </c>
      <c r="E244" s="9" t="s">
        <v>110</v>
      </c>
      <c r="F244" s="27" t="s">
        <v>52</v>
      </c>
      <c r="G244" s="11">
        <v>1050</v>
      </c>
      <c r="H244" s="12">
        <v>1066.8</v>
      </c>
      <c r="I244" s="13">
        <v>230.2</v>
      </c>
      <c r="J244" s="13">
        <v>139.80000000000001</v>
      </c>
      <c r="K244" s="12">
        <v>1143</v>
      </c>
      <c r="L244" s="12">
        <v>1225.5999999999999</v>
      </c>
      <c r="M244" s="33">
        <v>32</v>
      </c>
      <c r="N244" s="12">
        <v>50.8</v>
      </c>
      <c r="O244" s="12">
        <v>1107.9000000000001</v>
      </c>
      <c r="P244" s="13">
        <v>6.4</v>
      </c>
      <c r="Q244" s="12">
        <v>12.7</v>
      </c>
      <c r="R244" s="12">
        <v>7</v>
      </c>
      <c r="S244" s="36">
        <f t="shared" si="11"/>
        <v>378.6</v>
      </c>
      <c r="T244" s="36" t="s">
        <v>89</v>
      </c>
      <c r="U244" s="12">
        <v>38</v>
      </c>
      <c r="V244" s="12">
        <v>513</v>
      </c>
      <c r="Y244" s="14"/>
    </row>
    <row r="245" spans="1:25" ht="12.75" customHeight="1" x14ac:dyDescent="0.3">
      <c r="A245" s="2"/>
      <c r="B245" s="23" t="str">
        <f t="shared" si="12"/>
        <v>WNRF 400# ANSI B16.47-MSS SP-44 Size 44"</v>
      </c>
      <c r="C245" s="9" t="s">
        <v>39</v>
      </c>
      <c r="D245" s="37" t="s">
        <v>91</v>
      </c>
      <c r="E245" s="9" t="s">
        <v>110</v>
      </c>
      <c r="F245" s="27" t="s">
        <v>53</v>
      </c>
      <c r="G245" s="11">
        <v>1100</v>
      </c>
      <c r="H245" s="12">
        <v>1117.5999999999999</v>
      </c>
      <c r="I245" s="13">
        <v>239.8</v>
      </c>
      <c r="J245" s="13">
        <v>146.1</v>
      </c>
      <c r="K245" s="12">
        <v>1200.0999999999999</v>
      </c>
      <c r="L245" s="12">
        <v>1282.7</v>
      </c>
      <c r="M245" s="33">
        <v>32</v>
      </c>
      <c r="N245" s="12">
        <v>53.8</v>
      </c>
      <c r="O245" s="12">
        <v>1158.7</v>
      </c>
      <c r="P245" s="13">
        <v>6.4</v>
      </c>
      <c r="Q245" s="12">
        <v>12.7</v>
      </c>
      <c r="R245" s="12">
        <v>7</v>
      </c>
      <c r="S245" s="36">
        <f t="shared" si="11"/>
        <v>391.2</v>
      </c>
      <c r="T245" s="36" t="s">
        <v>89</v>
      </c>
      <c r="U245" s="12">
        <v>38</v>
      </c>
      <c r="V245" s="12">
        <v>586</v>
      </c>
      <c r="Y245" s="14"/>
    </row>
    <row r="246" spans="1:25" ht="12.75" customHeight="1" x14ac:dyDescent="0.3">
      <c r="A246" s="2"/>
      <c r="B246" s="23" t="str">
        <f t="shared" si="12"/>
        <v>WNRF 400# ANSI B16.47-MSS SP-44 Size 46"</v>
      </c>
      <c r="C246" s="9" t="s">
        <v>39</v>
      </c>
      <c r="D246" s="37" t="s">
        <v>91</v>
      </c>
      <c r="E246" s="9" t="s">
        <v>110</v>
      </c>
      <c r="F246" s="27" t="s">
        <v>54</v>
      </c>
      <c r="G246" s="11">
        <v>1150</v>
      </c>
      <c r="H246" s="12">
        <v>1168.4000000000001</v>
      </c>
      <c r="I246" s="13">
        <v>250.7</v>
      </c>
      <c r="J246" s="13">
        <v>152.5</v>
      </c>
      <c r="K246" s="12">
        <v>1257.3</v>
      </c>
      <c r="L246" s="12">
        <v>1339.9</v>
      </c>
      <c r="M246" s="33">
        <v>36</v>
      </c>
      <c r="N246" s="12">
        <v>53.8</v>
      </c>
      <c r="O246" s="12">
        <v>1212.9000000000001</v>
      </c>
      <c r="P246" s="13">
        <v>6.4</v>
      </c>
      <c r="Q246" s="12">
        <v>12.7</v>
      </c>
      <c r="R246" s="12">
        <v>7</v>
      </c>
      <c r="S246" s="36">
        <f t="shared" si="11"/>
        <v>404</v>
      </c>
      <c r="T246" s="36" t="s">
        <v>89</v>
      </c>
      <c r="U246" s="12">
        <v>38</v>
      </c>
      <c r="V246" s="12">
        <v>648</v>
      </c>
      <c r="Y246" s="14"/>
    </row>
    <row r="247" spans="1:25" ht="12.75" customHeight="1" x14ac:dyDescent="0.3">
      <c r="A247" s="2"/>
      <c r="B247" s="23" t="str">
        <f t="shared" si="12"/>
        <v>WNRF 400# ANSI B16.47-MSS SP-44 Size 48"</v>
      </c>
      <c r="C247" s="9" t="s">
        <v>39</v>
      </c>
      <c r="D247" s="37" t="s">
        <v>91</v>
      </c>
      <c r="E247" s="9" t="s">
        <v>110</v>
      </c>
      <c r="F247" s="27" t="s">
        <v>55</v>
      </c>
      <c r="G247" s="11">
        <v>1200</v>
      </c>
      <c r="H247" s="12">
        <v>1219.2</v>
      </c>
      <c r="I247" s="13">
        <v>262.39999999999998</v>
      </c>
      <c r="J247" s="13">
        <v>158.80000000000001</v>
      </c>
      <c r="K247" s="12">
        <v>1308.0999999999999</v>
      </c>
      <c r="L247" s="12">
        <v>1403.4</v>
      </c>
      <c r="M247" s="33">
        <v>28</v>
      </c>
      <c r="N247" s="12">
        <v>60.5</v>
      </c>
      <c r="O247" s="12">
        <v>1267</v>
      </c>
      <c r="P247" s="13">
        <v>6.4</v>
      </c>
      <c r="Q247" s="12">
        <v>12.7</v>
      </c>
      <c r="R247" s="12">
        <v>7</v>
      </c>
      <c r="S247" s="36">
        <f t="shared" si="11"/>
        <v>430.6</v>
      </c>
      <c r="T247" s="36" t="s">
        <v>93</v>
      </c>
      <c r="U247" s="12">
        <v>45</v>
      </c>
      <c r="V247" s="12">
        <v>768</v>
      </c>
      <c r="Y247" s="14"/>
    </row>
    <row r="248" spans="1:25" ht="12.75" customHeight="1" x14ac:dyDescent="0.3">
      <c r="A248" s="2"/>
      <c r="B248" s="23" t="str">
        <f t="shared" si="12"/>
        <v>WNRF 400# ANSI B16.47-MSS SP-44 Size 50"</v>
      </c>
      <c r="C248" s="9" t="s">
        <v>39</v>
      </c>
      <c r="D248" s="37" t="s">
        <v>91</v>
      </c>
      <c r="E248" s="9" t="s">
        <v>110</v>
      </c>
      <c r="F248" s="27" t="s">
        <v>56</v>
      </c>
      <c r="G248" s="11">
        <v>1250</v>
      </c>
      <c r="H248" s="12">
        <v>1270</v>
      </c>
      <c r="I248" s="13">
        <v>274.60000000000002</v>
      </c>
      <c r="J248" s="13">
        <v>163.6</v>
      </c>
      <c r="K248" s="12">
        <v>1362</v>
      </c>
      <c r="L248" s="12">
        <v>1460.5</v>
      </c>
      <c r="M248" s="33">
        <v>32</v>
      </c>
      <c r="N248" s="12">
        <v>60.5</v>
      </c>
      <c r="O248" s="12">
        <v>1320.8</v>
      </c>
      <c r="P248" s="13">
        <v>6.4</v>
      </c>
      <c r="Q248" s="12">
        <v>12.7</v>
      </c>
      <c r="R248" s="12">
        <v>7</v>
      </c>
      <c r="S248" s="36">
        <f t="shared" si="11"/>
        <v>440.2</v>
      </c>
      <c r="T248" s="36" t="s">
        <v>93</v>
      </c>
      <c r="U248" s="12">
        <v>45</v>
      </c>
      <c r="V248" s="12">
        <v>832</v>
      </c>
      <c r="Y248" s="14"/>
    </row>
    <row r="249" spans="1:25" ht="12.75" customHeight="1" x14ac:dyDescent="0.3">
      <c r="A249" s="2"/>
      <c r="B249" s="23" t="str">
        <f t="shared" si="12"/>
        <v>WNRF 400# ANSI B16.47-MSS SP-44 Size 52"</v>
      </c>
      <c r="C249" s="9" t="s">
        <v>39</v>
      </c>
      <c r="D249" s="37" t="s">
        <v>91</v>
      </c>
      <c r="E249" s="9" t="s">
        <v>110</v>
      </c>
      <c r="F249" s="27" t="s">
        <v>58</v>
      </c>
      <c r="G249" s="11">
        <v>1300</v>
      </c>
      <c r="H249" s="12">
        <v>1320.8</v>
      </c>
      <c r="I249" s="13">
        <v>282.8</v>
      </c>
      <c r="J249" s="13">
        <v>168.5</v>
      </c>
      <c r="K249" s="12">
        <v>1412.8</v>
      </c>
      <c r="L249" s="12">
        <v>1511.3</v>
      </c>
      <c r="M249" s="33">
        <v>32</v>
      </c>
      <c r="N249" s="12">
        <v>60.5</v>
      </c>
      <c r="O249" s="12">
        <v>1371.6</v>
      </c>
      <c r="P249" s="13">
        <v>6.4</v>
      </c>
      <c r="Q249" s="12">
        <v>12.7</v>
      </c>
      <c r="R249" s="12">
        <v>7</v>
      </c>
      <c r="S249" s="36">
        <f t="shared" si="11"/>
        <v>450</v>
      </c>
      <c r="T249" s="36" t="s">
        <v>93</v>
      </c>
      <c r="U249" s="12">
        <v>45</v>
      </c>
      <c r="V249" s="12">
        <v>897</v>
      </c>
      <c r="Y249" s="14"/>
    </row>
    <row r="250" spans="1:25" ht="12.75" customHeight="1" x14ac:dyDescent="0.3">
      <c r="A250" s="2"/>
      <c r="B250" s="23" t="str">
        <f t="shared" si="12"/>
        <v>WNRF 400# ANSI B16.47-MSS SP-44 Size 54"</v>
      </c>
      <c r="C250" s="9" t="s">
        <v>39</v>
      </c>
      <c r="D250" s="37" t="s">
        <v>91</v>
      </c>
      <c r="E250" s="9" t="s">
        <v>110</v>
      </c>
      <c r="F250" s="27" t="s">
        <v>59</v>
      </c>
      <c r="G250" s="11">
        <v>1350</v>
      </c>
      <c r="H250" s="12">
        <v>1371.6</v>
      </c>
      <c r="I250" s="13">
        <v>295.5</v>
      </c>
      <c r="J250" s="13">
        <v>176.3</v>
      </c>
      <c r="K250" s="12">
        <v>1470</v>
      </c>
      <c r="L250" s="12">
        <v>1581.2</v>
      </c>
      <c r="M250" s="33">
        <v>28</v>
      </c>
      <c r="N250" s="12">
        <v>66.5</v>
      </c>
      <c r="O250" s="12">
        <v>1425.4</v>
      </c>
      <c r="P250" s="13">
        <v>6.4</v>
      </c>
      <c r="Q250" s="12">
        <v>12.7</v>
      </c>
      <c r="R250" s="12">
        <v>7</v>
      </c>
      <c r="S250" s="36">
        <f t="shared" si="11"/>
        <v>477.6</v>
      </c>
      <c r="T250" s="36" t="s">
        <v>94</v>
      </c>
      <c r="U250" s="12">
        <v>51</v>
      </c>
      <c r="V250" s="12">
        <v>1086</v>
      </c>
      <c r="Y250" s="14"/>
    </row>
    <row r="251" spans="1:25" ht="12.75" customHeight="1" x14ac:dyDescent="0.3">
      <c r="A251" s="2"/>
      <c r="B251" s="23" t="str">
        <f t="shared" si="12"/>
        <v>WNRF 400# ANSI B16.47-MSS SP-44 Size 56"</v>
      </c>
      <c r="C251" s="9" t="s">
        <v>39</v>
      </c>
      <c r="D251" s="37" t="s">
        <v>91</v>
      </c>
      <c r="E251" s="9" t="s">
        <v>110</v>
      </c>
      <c r="F251" s="27" t="s">
        <v>104</v>
      </c>
      <c r="G251" s="11">
        <v>1400</v>
      </c>
      <c r="H251" s="12">
        <v>1422.4</v>
      </c>
      <c r="I251" s="13">
        <v>304.89999999999998</v>
      </c>
      <c r="J251" s="13">
        <v>181.2</v>
      </c>
      <c r="K251" s="12">
        <v>1527.1</v>
      </c>
      <c r="L251" s="12">
        <v>1632</v>
      </c>
      <c r="M251" s="33">
        <v>32</v>
      </c>
      <c r="N251" s="12">
        <v>66.5</v>
      </c>
      <c r="O251" s="12">
        <v>1479.6</v>
      </c>
      <c r="P251" s="13">
        <v>6.4</v>
      </c>
      <c r="Q251" s="12">
        <v>12.7</v>
      </c>
      <c r="R251" s="12">
        <v>7</v>
      </c>
      <c r="S251" s="36">
        <f t="shared" si="11"/>
        <v>487.4</v>
      </c>
      <c r="T251" s="36" t="s">
        <v>94</v>
      </c>
      <c r="U251" s="12">
        <v>51</v>
      </c>
      <c r="V251" s="12">
        <v>1139</v>
      </c>
      <c r="Y251" s="14"/>
    </row>
    <row r="252" spans="1:25" ht="12.75" customHeight="1" x14ac:dyDescent="0.3">
      <c r="A252" s="2"/>
      <c r="B252" s="23" t="str">
        <f t="shared" si="12"/>
        <v>WNRF 400# ANSI B16.47-MSS SP-44 Size 58"</v>
      </c>
      <c r="C252" s="9" t="s">
        <v>39</v>
      </c>
      <c r="D252" s="37" t="s">
        <v>91</v>
      </c>
      <c r="E252" s="9" t="s">
        <v>110</v>
      </c>
      <c r="F252" s="27" t="s">
        <v>105</v>
      </c>
      <c r="G252" s="11">
        <v>1450</v>
      </c>
      <c r="H252" s="12">
        <v>1473.2</v>
      </c>
      <c r="I252" s="13">
        <v>312.7</v>
      </c>
      <c r="J252" s="13">
        <v>184.2</v>
      </c>
      <c r="K252" s="12">
        <v>1577.9</v>
      </c>
      <c r="L252" s="12">
        <v>1682.8</v>
      </c>
      <c r="M252" s="33">
        <v>32</v>
      </c>
      <c r="N252" s="12">
        <v>66.5</v>
      </c>
      <c r="O252" s="12">
        <v>1530.4</v>
      </c>
      <c r="P252" s="13">
        <v>6.4</v>
      </c>
      <c r="Q252" s="12">
        <v>12.7</v>
      </c>
      <c r="R252" s="12">
        <v>7</v>
      </c>
      <c r="S252" s="36">
        <f t="shared" si="11"/>
        <v>493.4</v>
      </c>
      <c r="T252" s="36" t="s">
        <v>94</v>
      </c>
      <c r="U252" s="12">
        <v>51</v>
      </c>
      <c r="V252" s="12">
        <v>1208</v>
      </c>
      <c r="Y252" s="14"/>
    </row>
    <row r="253" spans="1:25" ht="12.75" customHeight="1" x14ac:dyDescent="0.3">
      <c r="A253" s="2"/>
      <c r="B253" s="23" t="str">
        <f t="shared" si="12"/>
        <v>WNRF 400# ANSI B16.47-MSS SP-44 Size 60"</v>
      </c>
      <c r="C253" s="9" t="s">
        <v>39</v>
      </c>
      <c r="D253" s="37" t="s">
        <v>91</v>
      </c>
      <c r="E253" s="9" t="s">
        <v>110</v>
      </c>
      <c r="F253" s="27" t="s">
        <v>60</v>
      </c>
      <c r="G253" s="11">
        <v>1500</v>
      </c>
      <c r="H253" s="12">
        <v>1524</v>
      </c>
      <c r="I253" s="13">
        <v>325.39999999999998</v>
      </c>
      <c r="J253" s="13">
        <v>192.1</v>
      </c>
      <c r="K253" s="12">
        <v>1635.1</v>
      </c>
      <c r="L253" s="12">
        <v>1752.6</v>
      </c>
      <c r="M253" s="33">
        <v>32</v>
      </c>
      <c r="N253" s="12">
        <v>73.2</v>
      </c>
      <c r="O253" s="12">
        <v>1584.5</v>
      </c>
      <c r="P253" s="13">
        <v>6.4</v>
      </c>
      <c r="Q253" s="12">
        <v>12.7</v>
      </c>
      <c r="R253" s="12">
        <v>7</v>
      </c>
      <c r="S253" s="36">
        <f t="shared" si="11"/>
        <v>515.20000000000005</v>
      </c>
      <c r="T253" s="36" t="s">
        <v>95</v>
      </c>
      <c r="U253" s="12">
        <v>54</v>
      </c>
      <c r="V253" s="12">
        <v>1408</v>
      </c>
      <c r="Y253" s="14"/>
    </row>
    <row r="254" spans="1:25" ht="12.75" customHeight="1" x14ac:dyDescent="0.3">
      <c r="A254" s="2"/>
      <c r="B254" s="22" t="str">
        <f t="shared" si="12"/>
        <v>WNRF 600# ANSI B16.47-MSS SP-44 Size 12"</v>
      </c>
      <c r="C254" s="9" t="s">
        <v>39</v>
      </c>
      <c r="D254" s="37" t="s">
        <v>92</v>
      </c>
      <c r="E254" s="9" t="s">
        <v>110</v>
      </c>
      <c r="F254" s="27" t="s">
        <v>77</v>
      </c>
      <c r="G254" s="11">
        <v>300</v>
      </c>
      <c r="H254" s="12">
        <v>558.79999999999995</v>
      </c>
      <c r="I254" s="13">
        <v>161.80000000000001</v>
      </c>
      <c r="J254" s="13">
        <v>72.900000000000006</v>
      </c>
      <c r="K254" s="12" t="s">
        <v>42</v>
      </c>
      <c r="L254" s="12">
        <v>489</v>
      </c>
      <c r="M254" s="33">
        <v>20</v>
      </c>
      <c r="N254" s="12">
        <v>35.1</v>
      </c>
      <c r="O254" s="12">
        <v>400.1</v>
      </c>
      <c r="P254" s="13">
        <v>6.4</v>
      </c>
      <c r="Q254" s="12">
        <v>9.6999999999999993</v>
      </c>
      <c r="R254" s="12">
        <v>6</v>
      </c>
      <c r="S254" s="36">
        <f t="shared" si="11"/>
        <v>219.8</v>
      </c>
      <c r="T254" s="36" t="s">
        <v>43</v>
      </c>
      <c r="U254" s="12">
        <v>26</v>
      </c>
      <c r="V254" s="12">
        <v>103</v>
      </c>
      <c r="Y254" s="14"/>
    </row>
    <row r="255" spans="1:25" ht="12.75" customHeight="1" x14ac:dyDescent="0.3">
      <c r="A255" s="2"/>
      <c r="B255" s="23" t="str">
        <f t="shared" si="12"/>
        <v>WNRF 600# ANSI B16.47-MSS SP-44 Size 14"</v>
      </c>
      <c r="C255" s="9" t="s">
        <v>39</v>
      </c>
      <c r="D255" s="37" t="s">
        <v>92</v>
      </c>
      <c r="E255" s="9" t="s">
        <v>110</v>
      </c>
      <c r="F255" s="27" t="s">
        <v>78</v>
      </c>
      <c r="G255" s="11">
        <v>350</v>
      </c>
      <c r="H255" s="12">
        <v>603.29999999999995</v>
      </c>
      <c r="I255" s="13">
        <v>171.5</v>
      </c>
      <c r="J255" s="13">
        <v>76.3</v>
      </c>
      <c r="K255" s="12" t="s">
        <v>42</v>
      </c>
      <c r="L255" s="12">
        <v>527.1</v>
      </c>
      <c r="M255" s="33">
        <v>20</v>
      </c>
      <c r="N255" s="12">
        <v>38.1</v>
      </c>
      <c r="O255" s="12">
        <v>431.8</v>
      </c>
      <c r="P255" s="13">
        <v>6.4</v>
      </c>
      <c r="Q255" s="12">
        <v>9.6999999999999993</v>
      </c>
      <c r="R255" s="12">
        <v>7</v>
      </c>
      <c r="S255" s="36">
        <f t="shared" si="11"/>
        <v>233.6</v>
      </c>
      <c r="T255" s="36" t="s">
        <v>47</v>
      </c>
      <c r="U255" s="12">
        <v>29</v>
      </c>
      <c r="V255" s="12">
        <v>122</v>
      </c>
      <c r="Y255" s="14"/>
    </row>
    <row r="256" spans="1:25" ht="12.75" customHeight="1" x14ac:dyDescent="0.3">
      <c r="A256" s="2"/>
      <c r="B256" s="23" t="str">
        <f t="shared" si="12"/>
        <v>WNRF 600# ANSI B16.47-MSS SP-44 Size 16"</v>
      </c>
      <c r="C256" s="9" t="s">
        <v>39</v>
      </c>
      <c r="D256" s="37" t="s">
        <v>92</v>
      </c>
      <c r="E256" s="9" t="s">
        <v>110</v>
      </c>
      <c r="F256" s="27" t="s">
        <v>80</v>
      </c>
      <c r="G256" s="11">
        <v>400</v>
      </c>
      <c r="H256" s="12">
        <v>685.8</v>
      </c>
      <c r="I256" s="13">
        <v>184.2</v>
      </c>
      <c r="J256" s="13">
        <v>82.6</v>
      </c>
      <c r="K256" s="12" t="s">
        <v>42</v>
      </c>
      <c r="L256" s="12">
        <v>603.29999999999995</v>
      </c>
      <c r="M256" s="33">
        <v>20</v>
      </c>
      <c r="N256" s="12">
        <v>41.1</v>
      </c>
      <c r="O256" s="12">
        <v>495.3</v>
      </c>
      <c r="P256" s="13">
        <v>6.4</v>
      </c>
      <c r="Q256" s="12">
        <v>9.6999999999999993</v>
      </c>
      <c r="R256" s="12">
        <v>7</v>
      </c>
      <c r="S256" s="36">
        <f t="shared" si="11"/>
        <v>250.2</v>
      </c>
      <c r="T256" s="36" t="s">
        <v>57</v>
      </c>
      <c r="U256" s="12">
        <v>31</v>
      </c>
      <c r="V256" s="12">
        <v>170</v>
      </c>
      <c r="Y256" s="14"/>
    </row>
    <row r="257" spans="1:25" ht="12.75" customHeight="1" x14ac:dyDescent="0.3">
      <c r="A257" s="2"/>
      <c r="B257" s="23" t="str">
        <f t="shared" si="12"/>
        <v>WNRF 600# ANSI B16.47-MSS SP-44 Size 18"</v>
      </c>
      <c r="C257" s="9" t="s">
        <v>39</v>
      </c>
      <c r="D257" s="37" t="s">
        <v>92</v>
      </c>
      <c r="E257" s="9" t="s">
        <v>110</v>
      </c>
      <c r="F257" s="27" t="s">
        <v>81</v>
      </c>
      <c r="G257" s="11">
        <v>450</v>
      </c>
      <c r="H257" s="12">
        <v>743</v>
      </c>
      <c r="I257" s="13">
        <v>190.6</v>
      </c>
      <c r="J257" s="13">
        <v>89</v>
      </c>
      <c r="K257" s="12" t="s">
        <v>42</v>
      </c>
      <c r="L257" s="12">
        <v>654.1</v>
      </c>
      <c r="M257" s="33">
        <v>20</v>
      </c>
      <c r="N257" s="12">
        <v>44.5</v>
      </c>
      <c r="O257" s="12">
        <v>546.1</v>
      </c>
      <c r="P257" s="13">
        <v>6.4</v>
      </c>
      <c r="Q257" s="12">
        <v>9.6999999999999993</v>
      </c>
      <c r="R257" s="12">
        <v>7</v>
      </c>
      <c r="S257" s="36">
        <f t="shared" si="11"/>
        <v>269</v>
      </c>
      <c r="T257" s="36" t="s">
        <v>87</v>
      </c>
      <c r="U257" s="12">
        <v>34</v>
      </c>
      <c r="V257" s="12">
        <v>204</v>
      </c>
      <c r="Y257" s="14"/>
    </row>
    <row r="258" spans="1:25" ht="12.75" customHeight="1" x14ac:dyDescent="0.3">
      <c r="A258" s="2"/>
      <c r="B258" s="23" t="str">
        <f t="shared" si="12"/>
        <v>WNRF 600# ANSI B16.47-MSS SP-44 Size 20"</v>
      </c>
      <c r="C258" s="9" t="s">
        <v>39</v>
      </c>
      <c r="D258" s="37" t="s">
        <v>92</v>
      </c>
      <c r="E258" s="9" t="s">
        <v>110</v>
      </c>
      <c r="F258" s="27" t="s">
        <v>83</v>
      </c>
      <c r="G258" s="11">
        <v>500</v>
      </c>
      <c r="H258" s="12">
        <v>812.8</v>
      </c>
      <c r="I258" s="13">
        <v>196.9</v>
      </c>
      <c r="J258" s="13">
        <v>95.3</v>
      </c>
      <c r="K258" s="12" t="s">
        <v>42</v>
      </c>
      <c r="L258" s="12">
        <v>723.9</v>
      </c>
      <c r="M258" s="33">
        <v>24</v>
      </c>
      <c r="N258" s="12">
        <v>44.5</v>
      </c>
      <c r="O258" s="12">
        <v>609.6</v>
      </c>
      <c r="P258" s="13">
        <v>6.4</v>
      </c>
      <c r="Q258" s="12">
        <v>9.6999999999999993</v>
      </c>
      <c r="R258" s="12">
        <v>7</v>
      </c>
      <c r="S258" s="36">
        <f t="shared" si="11"/>
        <v>281.60000000000002</v>
      </c>
      <c r="T258" s="36" t="s">
        <v>87</v>
      </c>
      <c r="U258" s="12">
        <v>34</v>
      </c>
      <c r="V258" s="12">
        <v>254</v>
      </c>
      <c r="Y258" s="14"/>
    </row>
    <row r="259" spans="1:25" ht="12.75" customHeight="1" x14ac:dyDescent="0.3">
      <c r="A259" s="2"/>
      <c r="B259" s="23" t="str">
        <f t="shared" si="12"/>
        <v>WNRF 600# ANSI B16.47-MSS SP-44 Size 22"</v>
      </c>
      <c r="C259" s="9" t="s">
        <v>39</v>
      </c>
      <c r="D259" s="37" t="s">
        <v>92</v>
      </c>
      <c r="E259" s="9" t="s">
        <v>110</v>
      </c>
      <c r="F259" s="27" t="s">
        <v>84</v>
      </c>
      <c r="G259" s="11">
        <v>550</v>
      </c>
      <c r="H259" s="12">
        <v>870</v>
      </c>
      <c r="I259" s="13">
        <v>203.3</v>
      </c>
      <c r="J259" s="13">
        <v>101.7</v>
      </c>
      <c r="K259" s="12" t="s">
        <v>42</v>
      </c>
      <c r="L259" s="12">
        <v>777.7</v>
      </c>
      <c r="M259" s="33">
        <v>24</v>
      </c>
      <c r="N259" s="12">
        <v>47.8</v>
      </c>
      <c r="O259" s="12">
        <v>666.8</v>
      </c>
      <c r="P259" s="13">
        <v>6.4</v>
      </c>
      <c r="Q259" s="12">
        <v>9.6999999999999993</v>
      </c>
      <c r="R259" s="12">
        <v>7</v>
      </c>
      <c r="S259" s="36">
        <f t="shared" si="11"/>
        <v>298.39999999999998</v>
      </c>
      <c r="T259" s="36" t="s">
        <v>88</v>
      </c>
      <c r="U259" s="12">
        <v>36</v>
      </c>
      <c r="V259" s="12">
        <v>306</v>
      </c>
      <c r="Y259" s="14"/>
    </row>
    <row r="260" spans="1:25" ht="12.75" customHeight="1" x14ac:dyDescent="0.3">
      <c r="A260" s="2"/>
      <c r="B260" s="23" t="str">
        <f t="shared" si="12"/>
        <v>WNRF 600# ANSI B16.47-MSS SP-44 Size 24"</v>
      </c>
      <c r="C260" s="9" t="s">
        <v>39</v>
      </c>
      <c r="D260" s="37" t="s">
        <v>92</v>
      </c>
      <c r="E260" s="9" t="s">
        <v>110</v>
      </c>
      <c r="F260" s="27" t="s">
        <v>85</v>
      </c>
      <c r="G260" s="11">
        <v>600</v>
      </c>
      <c r="H260" s="12">
        <v>936.45333333333394</v>
      </c>
      <c r="I260" s="13">
        <v>213.726666666667</v>
      </c>
      <c r="J260" s="13">
        <v>107.04</v>
      </c>
      <c r="K260" s="12" t="s">
        <v>42</v>
      </c>
      <c r="L260" s="12">
        <v>837.65333333333297</v>
      </c>
      <c r="M260" s="33">
        <v>24.533333333333299</v>
      </c>
      <c r="N260" s="12">
        <v>50.459999999999901</v>
      </c>
      <c r="O260" s="12">
        <v>716.72</v>
      </c>
      <c r="P260" s="13">
        <v>6.4</v>
      </c>
      <c r="Q260" s="12">
        <v>9.6999999999999993</v>
      </c>
      <c r="R260" s="12">
        <v>7.3333333333333304</v>
      </c>
      <c r="S260" s="36">
        <f t="shared" ref="S260:S317" si="13">(J260+U260+8)*2+R260</f>
        <v>314.34666666666652</v>
      </c>
      <c r="T260" s="36" t="s">
        <v>43</v>
      </c>
      <c r="U260" s="12">
        <v>38.466666666666598</v>
      </c>
      <c r="V260" s="12">
        <v>358</v>
      </c>
      <c r="Y260" s="14"/>
    </row>
    <row r="261" spans="1:25" ht="12.75" customHeight="1" x14ac:dyDescent="0.3">
      <c r="A261" s="2"/>
      <c r="B261" s="23" t="str">
        <f t="shared" si="12"/>
        <v>WNRF 600# ANSI B16.47-MSS SP-44 Size 26"</v>
      </c>
      <c r="C261" s="9" t="s">
        <v>39</v>
      </c>
      <c r="D261" s="37" t="s">
        <v>92</v>
      </c>
      <c r="E261" s="9" t="s">
        <v>110</v>
      </c>
      <c r="F261" s="27" t="s">
        <v>41</v>
      </c>
      <c r="G261" s="11">
        <v>650</v>
      </c>
      <c r="H261" s="12">
        <v>1016</v>
      </c>
      <c r="I261" s="13">
        <v>228.7</v>
      </c>
      <c r="J261" s="13">
        <v>114.4</v>
      </c>
      <c r="K261" s="12">
        <v>749.3</v>
      </c>
      <c r="L261" s="12">
        <v>914.4</v>
      </c>
      <c r="M261" s="33">
        <v>28</v>
      </c>
      <c r="N261" s="12">
        <v>50.8</v>
      </c>
      <c r="O261" s="12">
        <v>747.8</v>
      </c>
      <c r="P261" s="13">
        <v>6.4</v>
      </c>
      <c r="Q261" s="12">
        <v>12.7</v>
      </c>
      <c r="R261" s="12">
        <v>7</v>
      </c>
      <c r="S261" s="36">
        <f t="shared" si="13"/>
        <v>327.8</v>
      </c>
      <c r="T261" s="36" t="s">
        <v>89</v>
      </c>
      <c r="U261" s="12">
        <v>38</v>
      </c>
      <c r="V261" s="12">
        <v>427</v>
      </c>
      <c r="Y261" s="14"/>
    </row>
    <row r="262" spans="1:25" ht="12.75" customHeight="1" x14ac:dyDescent="0.3">
      <c r="A262" s="2"/>
      <c r="B262" s="23" t="str">
        <f t="shared" si="12"/>
        <v>WNRF 600# ANSI B16.47-MSS SP-44 Size 28"</v>
      </c>
      <c r="C262" s="9" t="s">
        <v>39</v>
      </c>
      <c r="D262" s="37" t="s">
        <v>92</v>
      </c>
      <c r="E262" s="9" t="s">
        <v>110</v>
      </c>
      <c r="F262" s="27" t="s">
        <v>44</v>
      </c>
      <c r="G262" s="11">
        <v>700</v>
      </c>
      <c r="H262" s="12">
        <v>1073.2</v>
      </c>
      <c r="I262" s="13">
        <v>241.4</v>
      </c>
      <c r="J262" s="13">
        <v>117.7</v>
      </c>
      <c r="K262" s="12">
        <v>800.1</v>
      </c>
      <c r="L262" s="12">
        <v>965.2</v>
      </c>
      <c r="M262" s="33">
        <v>28</v>
      </c>
      <c r="N262" s="12">
        <v>53.8</v>
      </c>
      <c r="O262" s="12">
        <v>803.1</v>
      </c>
      <c r="P262" s="13">
        <v>6.4</v>
      </c>
      <c r="Q262" s="12">
        <v>12.7</v>
      </c>
      <c r="R262" s="12">
        <v>7</v>
      </c>
      <c r="S262" s="36">
        <f t="shared" si="13"/>
        <v>334.4</v>
      </c>
      <c r="T262" s="36" t="s">
        <v>89</v>
      </c>
      <c r="U262" s="12">
        <v>38</v>
      </c>
      <c r="V262" s="12">
        <v>479</v>
      </c>
      <c r="Y262" s="14"/>
    </row>
    <row r="263" spans="1:25" ht="12.75" customHeight="1" x14ac:dyDescent="0.3">
      <c r="A263" s="2"/>
      <c r="B263" s="23" t="str">
        <f t="shared" si="12"/>
        <v>WNRF 600# ANSI B16.47-MSS SP-44 Size 30"</v>
      </c>
      <c r="C263" s="9" t="s">
        <v>39</v>
      </c>
      <c r="D263" s="37" t="s">
        <v>92</v>
      </c>
      <c r="E263" s="9" t="s">
        <v>110</v>
      </c>
      <c r="F263" s="27" t="s">
        <v>45</v>
      </c>
      <c r="G263" s="11">
        <v>750</v>
      </c>
      <c r="H263" s="12">
        <v>1130.3</v>
      </c>
      <c r="I263" s="13">
        <v>254.1</v>
      </c>
      <c r="J263" s="13">
        <v>120.7</v>
      </c>
      <c r="K263" s="12">
        <v>857.2</v>
      </c>
      <c r="L263" s="10">
        <v>1022.4</v>
      </c>
      <c r="M263" s="33">
        <v>28</v>
      </c>
      <c r="N263" s="12">
        <v>53.8</v>
      </c>
      <c r="O263" s="12">
        <v>862.1</v>
      </c>
      <c r="P263" s="13">
        <v>6.4</v>
      </c>
      <c r="Q263" s="12">
        <v>12.7</v>
      </c>
      <c r="R263" s="12">
        <v>7</v>
      </c>
      <c r="S263" s="36">
        <f t="shared" si="13"/>
        <v>340.4</v>
      </c>
      <c r="T263" s="36" t="s">
        <v>89</v>
      </c>
      <c r="U263" s="12">
        <v>38</v>
      </c>
      <c r="V263" s="12">
        <v>545</v>
      </c>
      <c r="Y263" s="14"/>
    </row>
    <row r="264" spans="1:25" ht="12.75" customHeight="1" x14ac:dyDescent="0.3">
      <c r="A264" s="2"/>
      <c r="B264" s="23" t="str">
        <f t="shared" si="12"/>
        <v>WNRF 600# ANSI B16.47-MSS SP-44 Size 32"</v>
      </c>
      <c r="C264" s="9" t="s">
        <v>39</v>
      </c>
      <c r="D264" s="37" t="s">
        <v>92</v>
      </c>
      <c r="E264" s="9" t="s">
        <v>110</v>
      </c>
      <c r="F264" s="27" t="s">
        <v>46</v>
      </c>
      <c r="G264" s="11">
        <v>800</v>
      </c>
      <c r="H264" s="12">
        <v>1193.8</v>
      </c>
      <c r="I264" s="13">
        <v>266.8</v>
      </c>
      <c r="J264" s="13">
        <v>123.7</v>
      </c>
      <c r="K264" s="12">
        <v>914.4</v>
      </c>
      <c r="L264" s="12">
        <v>1079.5</v>
      </c>
      <c r="M264" s="33">
        <v>28</v>
      </c>
      <c r="N264" s="12">
        <v>60.5</v>
      </c>
      <c r="O264" s="12">
        <v>917.4</v>
      </c>
      <c r="P264" s="13">
        <v>6.4</v>
      </c>
      <c r="Q264" s="12">
        <v>12.7</v>
      </c>
      <c r="R264" s="12">
        <v>7</v>
      </c>
      <c r="S264" s="36">
        <f t="shared" si="13"/>
        <v>360.4</v>
      </c>
      <c r="T264" s="36" t="s">
        <v>93</v>
      </c>
      <c r="U264" s="12">
        <v>45</v>
      </c>
      <c r="V264" s="12">
        <v>610</v>
      </c>
      <c r="Y264" s="14"/>
    </row>
    <row r="265" spans="1:25" ht="12.75" customHeight="1" x14ac:dyDescent="0.3">
      <c r="A265" s="2"/>
      <c r="B265" s="23" t="str">
        <f t="shared" si="12"/>
        <v>WNRF 600# ANSI B16.47-MSS SP-44 Size 34"</v>
      </c>
      <c r="C265" s="9" t="s">
        <v>39</v>
      </c>
      <c r="D265" s="37" t="s">
        <v>92</v>
      </c>
      <c r="E265" s="9" t="s">
        <v>110</v>
      </c>
      <c r="F265" s="27" t="s">
        <v>48</v>
      </c>
      <c r="G265" s="11">
        <v>850</v>
      </c>
      <c r="H265" s="12">
        <v>1244.5999999999999</v>
      </c>
      <c r="I265" s="13">
        <v>276.10000000000002</v>
      </c>
      <c r="J265" s="13">
        <v>127.1</v>
      </c>
      <c r="K265" s="12">
        <v>965.2</v>
      </c>
      <c r="L265" s="12">
        <v>1130.3</v>
      </c>
      <c r="M265" s="33">
        <v>28</v>
      </c>
      <c r="N265" s="12">
        <v>60.5</v>
      </c>
      <c r="O265" s="12">
        <v>973.1</v>
      </c>
      <c r="P265" s="13">
        <v>6.4</v>
      </c>
      <c r="Q265" s="12">
        <v>14.2</v>
      </c>
      <c r="R265" s="12">
        <v>7</v>
      </c>
      <c r="S265" s="36">
        <f t="shared" si="13"/>
        <v>367.2</v>
      </c>
      <c r="T265" s="36" t="s">
        <v>93</v>
      </c>
      <c r="U265" s="12">
        <v>45</v>
      </c>
      <c r="V265" s="12">
        <v>666</v>
      </c>
      <c r="Y265" s="14"/>
    </row>
    <row r="266" spans="1:25" ht="12.75" customHeight="1" x14ac:dyDescent="0.3">
      <c r="A266" s="2"/>
      <c r="B266" s="23" t="str">
        <f t="shared" si="12"/>
        <v>WNRF 600# ANSI B16.47-MSS SP-44 Size 36"</v>
      </c>
      <c r="C266" s="9" t="s">
        <v>39</v>
      </c>
      <c r="D266" s="37" t="s">
        <v>92</v>
      </c>
      <c r="E266" s="9" t="s">
        <v>110</v>
      </c>
      <c r="F266" s="27" t="s">
        <v>49</v>
      </c>
      <c r="G266" s="11">
        <v>900</v>
      </c>
      <c r="H266" s="12">
        <v>1314.5</v>
      </c>
      <c r="I266" s="13">
        <v>288.8</v>
      </c>
      <c r="J266" s="13">
        <v>130.4</v>
      </c>
      <c r="K266" s="12">
        <v>1022.3</v>
      </c>
      <c r="L266" s="12">
        <v>1193.8</v>
      </c>
      <c r="M266" s="33">
        <v>28</v>
      </c>
      <c r="N266" s="12">
        <v>66.5</v>
      </c>
      <c r="O266" s="12">
        <v>1031.7</v>
      </c>
      <c r="P266" s="13">
        <v>6.4</v>
      </c>
      <c r="Q266" s="12">
        <v>14.2</v>
      </c>
      <c r="R266" s="12">
        <v>7</v>
      </c>
      <c r="S266" s="36">
        <f t="shared" si="13"/>
        <v>379.8</v>
      </c>
      <c r="T266" s="36" t="s">
        <v>98</v>
      </c>
      <c r="U266" s="12">
        <v>48</v>
      </c>
      <c r="V266" s="12">
        <v>755</v>
      </c>
      <c r="Y266" s="14"/>
    </row>
    <row r="267" spans="1:25" ht="12.75" customHeight="1" x14ac:dyDescent="0.3">
      <c r="A267" s="2"/>
      <c r="B267" s="23" t="str">
        <f t="shared" si="12"/>
        <v>WNRF 600# ANSI B16.47-MSS SP-44 Size 38"</v>
      </c>
      <c r="C267" s="9" t="s">
        <v>39</v>
      </c>
      <c r="D267" s="37" t="s">
        <v>92</v>
      </c>
      <c r="E267" s="9" t="s">
        <v>110</v>
      </c>
      <c r="F267" s="27" t="s">
        <v>50</v>
      </c>
      <c r="G267" s="11">
        <v>950</v>
      </c>
      <c r="H267" s="12">
        <v>1270</v>
      </c>
      <c r="I267" s="13">
        <v>260.39999999999998</v>
      </c>
      <c r="J267" s="13">
        <v>158.80000000000001</v>
      </c>
      <c r="K267" s="12">
        <v>1054.0999999999999</v>
      </c>
      <c r="L267" s="12">
        <v>1162.0999999999999</v>
      </c>
      <c r="M267" s="33">
        <v>28</v>
      </c>
      <c r="N267" s="12">
        <v>60.5</v>
      </c>
      <c r="O267" s="12">
        <v>1022.4</v>
      </c>
      <c r="P267" s="13">
        <v>6.4</v>
      </c>
      <c r="Q267" s="12">
        <v>14.2</v>
      </c>
      <c r="R267" s="12">
        <v>7</v>
      </c>
      <c r="S267" s="36">
        <f t="shared" si="13"/>
        <v>430.6</v>
      </c>
      <c r="T267" s="36" t="s">
        <v>93</v>
      </c>
      <c r="U267" s="12">
        <v>45</v>
      </c>
      <c r="V267" s="12">
        <v>640</v>
      </c>
      <c r="Y267" s="14"/>
    </row>
    <row r="268" spans="1:25" ht="12.75" customHeight="1" x14ac:dyDescent="0.3">
      <c r="A268" s="2"/>
      <c r="B268" s="23" t="str">
        <f t="shared" si="12"/>
        <v>WNRF 600# ANSI B16.47-MSS SP-44 Size 40"</v>
      </c>
      <c r="C268" s="9" t="s">
        <v>39</v>
      </c>
      <c r="D268" s="37" t="s">
        <v>92</v>
      </c>
      <c r="E268" s="9" t="s">
        <v>110</v>
      </c>
      <c r="F268" s="27" t="s">
        <v>51</v>
      </c>
      <c r="G268" s="11">
        <v>1000</v>
      </c>
      <c r="H268" s="12">
        <v>1320.8</v>
      </c>
      <c r="I268" s="13">
        <v>270.10000000000002</v>
      </c>
      <c r="J268" s="13">
        <v>165</v>
      </c>
      <c r="K268" s="12">
        <v>1111.2</v>
      </c>
      <c r="L268" s="12">
        <v>1212.9000000000001</v>
      </c>
      <c r="M268" s="33">
        <v>32</v>
      </c>
      <c r="N268" s="12">
        <v>60.5</v>
      </c>
      <c r="O268" s="12">
        <v>1073.2</v>
      </c>
      <c r="P268" s="13">
        <v>6.4</v>
      </c>
      <c r="Q268" s="12">
        <v>14.2</v>
      </c>
      <c r="R268" s="12">
        <v>7</v>
      </c>
      <c r="S268" s="36">
        <f t="shared" si="13"/>
        <v>443</v>
      </c>
      <c r="T268" s="36" t="s">
        <v>93</v>
      </c>
      <c r="U268" s="12">
        <v>45</v>
      </c>
      <c r="V268" s="12">
        <v>683</v>
      </c>
      <c r="Y268" s="14"/>
    </row>
    <row r="269" spans="1:25" ht="12.75" customHeight="1" x14ac:dyDescent="0.3">
      <c r="A269" s="2"/>
      <c r="B269" s="23" t="str">
        <f t="shared" si="12"/>
        <v>WNRF 600# ANSI B16.47-MSS SP-44 Size 42"</v>
      </c>
      <c r="C269" s="9" t="s">
        <v>39</v>
      </c>
      <c r="D269" s="37" t="s">
        <v>92</v>
      </c>
      <c r="E269" s="9" t="s">
        <v>110</v>
      </c>
      <c r="F269" s="27" t="s">
        <v>52</v>
      </c>
      <c r="G269" s="11">
        <v>1050</v>
      </c>
      <c r="H269" s="12">
        <v>1403.4</v>
      </c>
      <c r="I269" s="13">
        <v>285.8</v>
      </c>
      <c r="J269" s="13">
        <v>174.5</v>
      </c>
      <c r="K269" s="12">
        <v>1168.4000000000001</v>
      </c>
      <c r="L269" s="12">
        <v>1282.7</v>
      </c>
      <c r="M269" s="33">
        <v>28</v>
      </c>
      <c r="N269" s="12">
        <v>66.5</v>
      </c>
      <c r="O269" s="12">
        <v>1127.3</v>
      </c>
      <c r="P269" s="13">
        <v>6.4</v>
      </c>
      <c r="Q269" s="12">
        <v>14.2</v>
      </c>
      <c r="R269" s="12">
        <v>7</v>
      </c>
      <c r="S269" s="36">
        <f t="shared" si="13"/>
        <v>468</v>
      </c>
      <c r="T269" s="36" t="s">
        <v>98</v>
      </c>
      <c r="U269" s="12">
        <v>48</v>
      </c>
      <c r="V269" s="12">
        <v>754</v>
      </c>
      <c r="Y269" s="14"/>
    </row>
    <row r="270" spans="1:25" ht="12.75" customHeight="1" x14ac:dyDescent="0.3">
      <c r="A270" s="2"/>
      <c r="B270" s="23" t="str">
        <f t="shared" si="12"/>
        <v>WNRF 600# ANSI B16.47-MSS SP-44 Size 44"</v>
      </c>
      <c r="C270" s="9" t="s">
        <v>39</v>
      </c>
      <c r="D270" s="37" t="s">
        <v>92</v>
      </c>
      <c r="E270" s="9" t="s">
        <v>110</v>
      </c>
      <c r="F270" s="27" t="s">
        <v>53</v>
      </c>
      <c r="G270" s="11">
        <v>1100</v>
      </c>
      <c r="H270" s="12">
        <v>1454.2</v>
      </c>
      <c r="I270" s="13">
        <v>295.5</v>
      </c>
      <c r="J270" s="13">
        <v>179.4</v>
      </c>
      <c r="K270" s="12">
        <v>1225.5</v>
      </c>
      <c r="L270" s="12">
        <v>1333.5</v>
      </c>
      <c r="M270" s="33">
        <v>32</v>
      </c>
      <c r="N270" s="12">
        <v>66.5</v>
      </c>
      <c r="O270" s="12">
        <v>1181.0999999999999</v>
      </c>
      <c r="P270" s="13">
        <v>6.4</v>
      </c>
      <c r="Q270" s="12">
        <v>14.2</v>
      </c>
      <c r="R270" s="12">
        <v>7</v>
      </c>
      <c r="S270" s="36">
        <f t="shared" si="13"/>
        <v>477.8</v>
      </c>
      <c r="T270" s="36" t="s">
        <v>98</v>
      </c>
      <c r="U270" s="12">
        <v>48</v>
      </c>
      <c r="V270" s="12">
        <v>903</v>
      </c>
      <c r="Y270" s="14"/>
    </row>
    <row r="271" spans="1:25" ht="12.75" customHeight="1" x14ac:dyDescent="0.3">
      <c r="A271" s="2"/>
      <c r="B271" s="23" t="str">
        <f t="shared" si="12"/>
        <v>WNRF 600# ANSI B16.47-MSS SP-44 Size 46"</v>
      </c>
      <c r="C271" s="9" t="s">
        <v>39</v>
      </c>
      <c r="D271" s="37" t="s">
        <v>92</v>
      </c>
      <c r="E271" s="9" t="s">
        <v>110</v>
      </c>
      <c r="F271" s="27" t="s">
        <v>54</v>
      </c>
      <c r="G271" s="11">
        <v>1150</v>
      </c>
      <c r="H271" s="12">
        <v>1511.3</v>
      </c>
      <c r="I271" s="13">
        <v>306.39999999999998</v>
      </c>
      <c r="J271" s="13">
        <v>185.7</v>
      </c>
      <c r="K271" s="12">
        <v>1273.3</v>
      </c>
      <c r="L271" s="12">
        <v>1390.7</v>
      </c>
      <c r="M271" s="33">
        <v>32</v>
      </c>
      <c r="N271" s="12">
        <v>66.5</v>
      </c>
      <c r="O271" s="12">
        <v>1234.9000000000001</v>
      </c>
      <c r="P271" s="13">
        <v>6.4</v>
      </c>
      <c r="Q271" s="12">
        <v>14.2</v>
      </c>
      <c r="R271" s="12">
        <v>7</v>
      </c>
      <c r="S271" s="36">
        <f t="shared" si="13"/>
        <v>490.4</v>
      </c>
      <c r="T271" s="36" t="s">
        <v>98</v>
      </c>
      <c r="U271" s="12">
        <v>48</v>
      </c>
      <c r="V271" s="12">
        <v>1054</v>
      </c>
      <c r="Y271" s="14"/>
    </row>
    <row r="272" spans="1:25" ht="12.75" customHeight="1" x14ac:dyDescent="0.3">
      <c r="A272" s="2"/>
      <c r="B272" s="23" t="str">
        <f t="shared" si="12"/>
        <v>WNRF 600# ANSI B16.47-MSS SP-44 Size 48"</v>
      </c>
      <c r="C272" s="9" t="s">
        <v>39</v>
      </c>
      <c r="D272" s="37" t="s">
        <v>92</v>
      </c>
      <c r="E272" s="9" t="s">
        <v>110</v>
      </c>
      <c r="F272" s="27" t="s">
        <v>55</v>
      </c>
      <c r="G272" s="11">
        <v>1200</v>
      </c>
      <c r="H272" s="12">
        <v>1593.9</v>
      </c>
      <c r="I272" s="13">
        <v>321.10000000000002</v>
      </c>
      <c r="J272" s="13">
        <v>195.4</v>
      </c>
      <c r="K272" s="12">
        <v>1333.5</v>
      </c>
      <c r="L272" s="12">
        <v>1460.5</v>
      </c>
      <c r="M272" s="33">
        <v>32</v>
      </c>
      <c r="N272" s="12">
        <v>73.2</v>
      </c>
      <c r="O272" s="12">
        <v>1289.0999999999999</v>
      </c>
      <c r="P272" s="13">
        <v>6.4</v>
      </c>
      <c r="Q272" s="12">
        <v>14.2</v>
      </c>
      <c r="R272" s="12">
        <v>7</v>
      </c>
      <c r="S272" s="36">
        <f t="shared" si="13"/>
        <v>523.79999999999995</v>
      </c>
      <c r="T272" s="36" t="s">
        <v>95</v>
      </c>
      <c r="U272" s="12">
        <v>55</v>
      </c>
      <c r="V272" s="12">
        <v>1200</v>
      </c>
      <c r="Y272" s="14"/>
    </row>
    <row r="273" spans="1:25" ht="12.75" customHeight="1" x14ac:dyDescent="0.3">
      <c r="A273" s="2"/>
      <c r="B273" s="23" t="str">
        <f t="shared" si="12"/>
        <v>WNRF 600# ANSI B16.47-MSS SP-44 Size 50"</v>
      </c>
      <c r="C273" s="9" t="s">
        <v>39</v>
      </c>
      <c r="D273" s="37" t="s">
        <v>92</v>
      </c>
      <c r="E273" s="9" t="s">
        <v>110</v>
      </c>
      <c r="F273" s="27" t="s">
        <v>56</v>
      </c>
      <c r="G273" s="11">
        <v>1250</v>
      </c>
      <c r="H273" s="12">
        <v>1670.1</v>
      </c>
      <c r="I273" s="13">
        <v>335.1</v>
      </c>
      <c r="J273" s="13">
        <v>203.3</v>
      </c>
      <c r="K273" s="12">
        <v>1384.3</v>
      </c>
      <c r="L273" s="12">
        <v>1524</v>
      </c>
      <c r="M273" s="33">
        <v>28</v>
      </c>
      <c r="N273" s="12">
        <v>79.2</v>
      </c>
      <c r="O273" s="12">
        <v>1343.2</v>
      </c>
      <c r="P273" s="13">
        <v>6.4</v>
      </c>
      <c r="Q273" s="12">
        <v>14.2</v>
      </c>
      <c r="R273" s="12">
        <v>7</v>
      </c>
      <c r="S273" s="36">
        <f t="shared" si="13"/>
        <v>549.6</v>
      </c>
      <c r="T273" s="36" t="s">
        <v>111</v>
      </c>
      <c r="U273" s="12">
        <v>60</v>
      </c>
      <c r="V273" s="12">
        <v>1363</v>
      </c>
      <c r="Y273" s="14"/>
    </row>
    <row r="274" spans="1:25" ht="12.75" customHeight="1" x14ac:dyDescent="0.3">
      <c r="A274" s="2"/>
      <c r="B274" s="23" t="str">
        <f t="shared" si="12"/>
        <v>WNRF 600# ANSI B16.47-MSS SP-44 Size 52"</v>
      </c>
      <c r="C274" s="9" t="s">
        <v>39</v>
      </c>
      <c r="D274" s="37" t="s">
        <v>92</v>
      </c>
      <c r="E274" s="9" t="s">
        <v>110</v>
      </c>
      <c r="F274" s="27" t="s">
        <v>58</v>
      </c>
      <c r="G274" s="11">
        <v>1300</v>
      </c>
      <c r="H274" s="12">
        <v>1720.9</v>
      </c>
      <c r="I274" s="13">
        <v>343</v>
      </c>
      <c r="J274" s="13">
        <v>209.6</v>
      </c>
      <c r="K274" s="12">
        <v>1435.1</v>
      </c>
      <c r="L274" s="12">
        <v>1574.8</v>
      </c>
      <c r="M274" s="33">
        <v>32</v>
      </c>
      <c r="N274" s="12">
        <v>79.2</v>
      </c>
      <c r="O274" s="12">
        <v>1394</v>
      </c>
      <c r="P274" s="13">
        <v>6.4</v>
      </c>
      <c r="Q274" s="12">
        <v>14.2</v>
      </c>
      <c r="R274" s="12">
        <v>7</v>
      </c>
      <c r="S274" s="36">
        <f t="shared" si="13"/>
        <v>562.20000000000005</v>
      </c>
      <c r="T274" s="36" t="s">
        <v>111</v>
      </c>
      <c r="U274" s="12">
        <v>60</v>
      </c>
      <c r="V274" s="12">
        <v>1466</v>
      </c>
      <c r="Y274" s="14"/>
    </row>
    <row r="275" spans="1:25" ht="12.75" customHeight="1" x14ac:dyDescent="0.3">
      <c r="A275" s="2"/>
      <c r="B275" s="23" t="str">
        <f t="shared" si="12"/>
        <v>WNRF 600# ANSI B16.47-MSS SP-44 Size 54"</v>
      </c>
      <c r="C275" s="9" t="s">
        <v>39</v>
      </c>
      <c r="D275" s="37" t="s">
        <v>92</v>
      </c>
      <c r="E275" s="9" t="s">
        <v>110</v>
      </c>
      <c r="F275" s="27" t="s">
        <v>59</v>
      </c>
      <c r="G275" s="11">
        <v>1350</v>
      </c>
      <c r="H275" s="12">
        <v>1778</v>
      </c>
      <c r="I275" s="13">
        <v>355.7</v>
      </c>
      <c r="J275" s="13">
        <v>216</v>
      </c>
      <c r="K275" s="12">
        <v>1492.2</v>
      </c>
      <c r="L275" s="12">
        <v>1632</v>
      </c>
      <c r="M275" s="33">
        <v>32</v>
      </c>
      <c r="N275" s="12">
        <v>79.2</v>
      </c>
      <c r="O275" s="12">
        <v>1447.8</v>
      </c>
      <c r="P275" s="13">
        <v>6.4</v>
      </c>
      <c r="Q275" s="12">
        <v>14.2</v>
      </c>
      <c r="R275" s="12">
        <v>7</v>
      </c>
      <c r="S275" s="36">
        <f t="shared" si="13"/>
        <v>575</v>
      </c>
      <c r="T275" s="36" t="s">
        <v>111</v>
      </c>
      <c r="U275" s="12">
        <v>60</v>
      </c>
      <c r="V275" s="12">
        <v>1605</v>
      </c>
      <c r="Y275" s="14"/>
    </row>
    <row r="276" spans="1:25" ht="12.75" customHeight="1" x14ac:dyDescent="0.3">
      <c r="A276" s="2"/>
      <c r="B276" s="23" t="str">
        <f t="shared" si="12"/>
        <v>WNRF 600# ANSI B16.47-MSS SP-44 Size 56"</v>
      </c>
      <c r="C276" s="9" t="s">
        <v>39</v>
      </c>
      <c r="D276" s="37" t="s">
        <v>92</v>
      </c>
      <c r="E276" s="9" t="s">
        <v>110</v>
      </c>
      <c r="F276" s="27" t="s">
        <v>104</v>
      </c>
      <c r="G276" s="11">
        <v>1400</v>
      </c>
      <c r="H276" s="12">
        <v>1854.2</v>
      </c>
      <c r="I276" s="13">
        <v>368.4</v>
      </c>
      <c r="J276" s="13">
        <v>223.8</v>
      </c>
      <c r="K276" s="12">
        <v>1543</v>
      </c>
      <c r="L276" s="12">
        <v>1695.5</v>
      </c>
      <c r="M276" s="33">
        <v>32</v>
      </c>
      <c r="N276" s="12">
        <v>85.9</v>
      </c>
      <c r="O276" s="12">
        <v>1501.6</v>
      </c>
      <c r="P276" s="13">
        <v>6.4</v>
      </c>
      <c r="Q276" s="12">
        <v>17.5</v>
      </c>
      <c r="R276" s="12">
        <v>7</v>
      </c>
      <c r="S276" s="36">
        <f t="shared" si="13"/>
        <v>598.6</v>
      </c>
      <c r="T276" s="36" t="s">
        <v>100</v>
      </c>
      <c r="U276" s="12">
        <v>64</v>
      </c>
      <c r="V276" s="12">
        <v>1709</v>
      </c>
      <c r="Y276" s="14"/>
    </row>
    <row r="277" spans="1:25" ht="12.75" customHeight="1" x14ac:dyDescent="0.3">
      <c r="A277" s="2"/>
      <c r="B277" s="23" t="str">
        <f t="shared" si="12"/>
        <v>WNRF 600# ANSI B16.47-MSS SP-44 Size 58"</v>
      </c>
      <c r="C277" s="9" t="s">
        <v>39</v>
      </c>
      <c r="D277" s="37" t="s">
        <v>92</v>
      </c>
      <c r="E277" s="9" t="s">
        <v>110</v>
      </c>
      <c r="F277" s="27" t="s">
        <v>105</v>
      </c>
      <c r="G277" s="11">
        <v>1450</v>
      </c>
      <c r="H277" s="12">
        <v>1905</v>
      </c>
      <c r="I277" s="13">
        <v>376.2</v>
      </c>
      <c r="J277" s="13">
        <v>228.7</v>
      </c>
      <c r="K277" s="12">
        <v>1600.2</v>
      </c>
      <c r="L277" s="12">
        <v>1746.3</v>
      </c>
      <c r="M277" s="33">
        <v>32</v>
      </c>
      <c r="N277" s="12">
        <v>85.9</v>
      </c>
      <c r="O277" s="12">
        <v>1552.4</v>
      </c>
      <c r="P277" s="13">
        <v>6.4</v>
      </c>
      <c r="Q277" s="12">
        <v>17.5</v>
      </c>
      <c r="R277" s="12">
        <v>7</v>
      </c>
      <c r="S277" s="36">
        <f t="shared" si="13"/>
        <v>608.4</v>
      </c>
      <c r="T277" s="36" t="s">
        <v>100</v>
      </c>
      <c r="U277" s="12">
        <v>64</v>
      </c>
      <c r="V277" s="12">
        <v>1916</v>
      </c>
      <c r="Y277" s="14"/>
    </row>
    <row r="278" spans="1:25" ht="12.75" customHeight="1" x14ac:dyDescent="0.3">
      <c r="A278" s="2"/>
      <c r="B278" s="23" t="str">
        <f t="shared" si="12"/>
        <v>WNRF 600# ANSI B16.47-MSS SP-44 Size 60"</v>
      </c>
      <c r="C278" s="9" t="s">
        <v>39</v>
      </c>
      <c r="D278" s="37" t="s">
        <v>92</v>
      </c>
      <c r="E278" s="9" t="s">
        <v>110</v>
      </c>
      <c r="F278" s="27" t="s">
        <v>60</v>
      </c>
      <c r="G278" s="11">
        <v>1500</v>
      </c>
      <c r="H278" s="12">
        <v>1993.9</v>
      </c>
      <c r="I278" s="13">
        <v>395.3</v>
      </c>
      <c r="J278" s="13">
        <v>239.8</v>
      </c>
      <c r="K278" s="12">
        <v>1657.3</v>
      </c>
      <c r="L278" s="12">
        <v>1822.5</v>
      </c>
      <c r="M278" s="33">
        <v>28</v>
      </c>
      <c r="N278" s="12">
        <v>91.9</v>
      </c>
      <c r="O278" s="12">
        <v>1609.9</v>
      </c>
      <c r="P278" s="13">
        <v>6.4</v>
      </c>
      <c r="Q278" s="12">
        <v>17.5</v>
      </c>
      <c r="R278" s="12">
        <v>7</v>
      </c>
      <c r="S278" s="36">
        <f t="shared" si="13"/>
        <v>638.6</v>
      </c>
      <c r="T278" s="36" t="s">
        <v>107</v>
      </c>
      <c r="U278" s="12">
        <v>68</v>
      </c>
      <c r="V278" s="12">
        <v>2300</v>
      </c>
      <c r="Y278" s="14"/>
    </row>
    <row r="279" spans="1:25" ht="12.75" customHeight="1" x14ac:dyDescent="0.3">
      <c r="A279" s="2"/>
      <c r="B279" s="22" t="str">
        <f t="shared" si="12"/>
        <v>WNRF 900# ANSI B16.47-MSS SP-44 Size 12"</v>
      </c>
      <c r="C279" s="9" t="s">
        <v>39</v>
      </c>
      <c r="D279" s="37" t="s">
        <v>96</v>
      </c>
      <c r="E279" s="9" t="s">
        <v>110</v>
      </c>
      <c r="F279" s="27" t="s">
        <v>77</v>
      </c>
      <c r="G279" s="11">
        <v>300</v>
      </c>
      <c r="H279" s="12">
        <v>609.6</v>
      </c>
      <c r="I279" s="13">
        <v>206.6</v>
      </c>
      <c r="J279" s="13">
        <v>85.6</v>
      </c>
      <c r="K279" s="12" t="s">
        <v>42</v>
      </c>
      <c r="L279" s="12">
        <v>533.4</v>
      </c>
      <c r="M279" s="33">
        <v>20</v>
      </c>
      <c r="N279" s="12">
        <v>38.1</v>
      </c>
      <c r="O279" s="12">
        <v>419.1</v>
      </c>
      <c r="P279" s="13">
        <v>6.4</v>
      </c>
      <c r="Q279" s="12">
        <v>11.2</v>
      </c>
      <c r="R279" s="12">
        <v>7</v>
      </c>
      <c r="S279" s="36">
        <f t="shared" si="13"/>
        <v>252.2</v>
      </c>
      <c r="T279" s="36" t="s">
        <v>47</v>
      </c>
      <c r="U279" s="12">
        <v>29</v>
      </c>
      <c r="V279" s="12">
        <v>157</v>
      </c>
    </row>
    <row r="280" spans="1:25" ht="12.75" customHeight="1" x14ac:dyDescent="0.3">
      <c r="A280" s="2"/>
      <c r="B280" s="23" t="str">
        <f t="shared" si="12"/>
        <v>WNRF 900# ANSI B16.47-MSS SP-44 Size 14"</v>
      </c>
      <c r="C280" s="9" t="s">
        <v>39</v>
      </c>
      <c r="D280" s="37" t="s">
        <v>96</v>
      </c>
      <c r="E280" s="9" t="s">
        <v>110</v>
      </c>
      <c r="F280" s="27" t="s">
        <v>78</v>
      </c>
      <c r="G280" s="11">
        <v>350</v>
      </c>
      <c r="H280" s="12">
        <v>641.4</v>
      </c>
      <c r="I280" s="13">
        <v>219.3</v>
      </c>
      <c r="J280" s="13">
        <v>92.3</v>
      </c>
      <c r="K280" s="12" t="s">
        <v>42</v>
      </c>
      <c r="L280" s="12">
        <v>558.79999999999995</v>
      </c>
      <c r="M280" s="33">
        <v>20</v>
      </c>
      <c r="N280" s="12">
        <v>41.1</v>
      </c>
      <c r="O280" s="12">
        <v>450.9</v>
      </c>
      <c r="P280" s="13">
        <v>6.4</v>
      </c>
      <c r="Q280" s="12">
        <v>11.2</v>
      </c>
      <c r="R280" s="12">
        <v>7</v>
      </c>
      <c r="S280" s="36">
        <f t="shared" si="13"/>
        <v>269.60000000000002</v>
      </c>
      <c r="T280" s="36" t="s">
        <v>57</v>
      </c>
      <c r="U280" s="12">
        <v>31</v>
      </c>
      <c r="V280" s="12">
        <v>180</v>
      </c>
    </row>
    <row r="281" spans="1:25" ht="12.75" customHeight="1" x14ac:dyDescent="0.3">
      <c r="A281" s="2"/>
      <c r="B281" s="23" t="str">
        <f t="shared" si="12"/>
        <v>WNRF 900# ANSI B16.47-MSS SP-44 Size 16"</v>
      </c>
      <c r="C281" s="9" t="s">
        <v>39</v>
      </c>
      <c r="D281" s="37" t="s">
        <v>96</v>
      </c>
      <c r="E281" s="9" t="s">
        <v>110</v>
      </c>
      <c r="F281" s="27" t="s">
        <v>80</v>
      </c>
      <c r="G281" s="11">
        <v>400</v>
      </c>
      <c r="H281" s="12">
        <v>704.9</v>
      </c>
      <c r="I281" s="13">
        <v>222.3</v>
      </c>
      <c r="J281" s="13">
        <v>95.3</v>
      </c>
      <c r="K281" s="12" t="s">
        <v>42</v>
      </c>
      <c r="L281" s="12">
        <v>616</v>
      </c>
      <c r="M281" s="33">
        <v>20</v>
      </c>
      <c r="N281" s="12">
        <v>44.5</v>
      </c>
      <c r="O281" s="12">
        <v>508</v>
      </c>
      <c r="P281" s="13">
        <v>6.4</v>
      </c>
      <c r="Q281" s="12">
        <v>11.2</v>
      </c>
      <c r="R281" s="12">
        <v>7</v>
      </c>
      <c r="S281" s="36">
        <f t="shared" si="13"/>
        <v>281.60000000000002</v>
      </c>
      <c r="T281" s="36" t="s">
        <v>87</v>
      </c>
      <c r="U281" s="12">
        <v>34</v>
      </c>
      <c r="V281" s="12">
        <v>217</v>
      </c>
    </row>
    <row r="282" spans="1:25" ht="12.75" customHeight="1" x14ac:dyDescent="0.3">
      <c r="A282" s="2"/>
      <c r="B282" s="23" t="str">
        <f t="shared" si="12"/>
        <v>WNRF 900# ANSI B16.47-MSS SP-44 Size 18"</v>
      </c>
      <c r="C282" s="9" t="s">
        <v>39</v>
      </c>
      <c r="D282" s="37" t="s">
        <v>96</v>
      </c>
      <c r="E282" s="9" t="s">
        <v>110</v>
      </c>
      <c r="F282" s="27" t="s">
        <v>81</v>
      </c>
      <c r="G282" s="11">
        <v>450</v>
      </c>
      <c r="H282" s="12">
        <v>787.4</v>
      </c>
      <c r="I282" s="13">
        <v>235</v>
      </c>
      <c r="J282" s="13">
        <v>108</v>
      </c>
      <c r="K282" s="12" t="s">
        <v>42</v>
      </c>
      <c r="L282" s="12">
        <v>685.8</v>
      </c>
      <c r="M282" s="33">
        <v>20</v>
      </c>
      <c r="N282" s="12">
        <v>50.8</v>
      </c>
      <c r="O282" s="12">
        <v>585.20000000000005</v>
      </c>
      <c r="P282" s="13">
        <v>6.4</v>
      </c>
      <c r="Q282" s="12">
        <v>11.2</v>
      </c>
      <c r="R282" s="12">
        <v>7</v>
      </c>
      <c r="S282" s="36">
        <f t="shared" si="13"/>
        <v>315</v>
      </c>
      <c r="T282" s="36" t="s">
        <v>89</v>
      </c>
      <c r="U282" s="12">
        <v>38</v>
      </c>
      <c r="V282" s="12">
        <v>292</v>
      </c>
    </row>
    <row r="283" spans="1:25" ht="12.75" customHeight="1" x14ac:dyDescent="0.3">
      <c r="A283" s="2"/>
      <c r="B283" s="23" t="str">
        <f t="shared" si="12"/>
        <v>WNRF 900# ANSI B16.47-MSS SP-44 Size 20"</v>
      </c>
      <c r="C283" s="9" t="s">
        <v>39</v>
      </c>
      <c r="D283" s="37" t="s">
        <v>96</v>
      </c>
      <c r="E283" s="9" t="s">
        <v>110</v>
      </c>
      <c r="F283" s="27" t="s">
        <v>83</v>
      </c>
      <c r="G283" s="11">
        <v>500</v>
      </c>
      <c r="H283" s="12">
        <v>857.3</v>
      </c>
      <c r="I283" s="13">
        <v>254.1</v>
      </c>
      <c r="J283" s="13">
        <v>114.4</v>
      </c>
      <c r="K283" s="12" t="s">
        <v>42</v>
      </c>
      <c r="L283" s="12">
        <v>749.3</v>
      </c>
      <c r="M283" s="33">
        <v>20</v>
      </c>
      <c r="N283" s="12">
        <v>53.8</v>
      </c>
      <c r="O283" s="12">
        <v>622.29999999999995</v>
      </c>
      <c r="P283" s="13">
        <v>6.4</v>
      </c>
      <c r="Q283" s="12">
        <v>11.2</v>
      </c>
      <c r="R283" s="12">
        <v>7</v>
      </c>
      <c r="S283" s="36">
        <f t="shared" si="13"/>
        <v>327.8</v>
      </c>
      <c r="T283" s="36" t="s">
        <v>89</v>
      </c>
      <c r="U283" s="12">
        <v>38</v>
      </c>
      <c r="V283" s="12">
        <v>362</v>
      </c>
    </row>
    <row r="284" spans="1:25" ht="12.75" customHeight="1" x14ac:dyDescent="0.3">
      <c r="A284" s="2"/>
      <c r="B284" s="23" t="str">
        <f t="shared" si="12"/>
        <v>WNRF 900# ANSI B16.47-MSS SP-44 Size 24"</v>
      </c>
      <c r="C284" s="9" t="s">
        <v>39</v>
      </c>
      <c r="D284" s="37" t="s">
        <v>96</v>
      </c>
      <c r="E284" s="9" t="s">
        <v>110</v>
      </c>
      <c r="F284" s="27" t="s">
        <v>85</v>
      </c>
      <c r="G284" s="11">
        <v>600</v>
      </c>
      <c r="H284" s="10">
        <v>1041.4000000000001</v>
      </c>
      <c r="I284" s="13">
        <v>298.5</v>
      </c>
      <c r="J284" s="13">
        <v>146.1</v>
      </c>
      <c r="K284" s="12" t="s">
        <v>42</v>
      </c>
      <c r="L284" s="12">
        <v>901.7</v>
      </c>
      <c r="M284" s="33">
        <v>20</v>
      </c>
      <c r="N284" s="12">
        <v>66.5</v>
      </c>
      <c r="O284" s="12">
        <v>749.3</v>
      </c>
      <c r="P284" s="13">
        <v>6.4</v>
      </c>
      <c r="Q284" s="12">
        <v>11.2</v>
      </c>
      <c r="R284" s="12">
        <v>7</v>
      </c>
      <c r="S284" s="36">
        <f t="shared" si="13"/>
        <v>417.2</v>
      </c>
      <c r="T284" s="36" t="s">
        <v>94</v>
      </c>
      <c r="U284" s="12">
        <v>51</v>
      </c>
      <c r="V284" s="12">
        <v>665</v>
      </c>
    </row>
    <row r="285" spans="1:25" ht="12.75" customHeight="1" x14ac:dyDescent="0.3">
      <c r="A285" s="2"/>
      <c r="B285" s="23" t="str">
        <f t="shared" si="12"/>
        <v>WNRF 900# ANSI B16.47-MSS SP-44 Size 26"</v>
      </c>
      <c r="C285" s="9" t="s">
        <v>39</v>
      </c>
      <c r="D285" s="37" t="s">
        <v>96</v>
      </c>
      <c r="E285" s="9" t="s">
        <v>110</v>
      </c>
      <c r="F285" s="27" t="s">
        <v>41</v>
      </c>
      <c r="G285" s="11">
        <v>650</v>
      </c>
      <c r="H285" s="12">
        <v>1085.9000000000001</v>
      </c>
      <c r="I285" s="13">
        <v>292.2</v>
      </c>
      <c r="J285" s="13">
        <v>146.1</v>
      </c>
      <c r="K285" s="12">
        <v>749.3</v>
      </c>
      <c r="L285" s="12">
        <v>952.5</v>
      </c>
      <c r="M285" s="33">
        <v>20</v>
      </c>
      <c r="N285" s="12">
        <v>73.2</v>
      </c>
      <c r="O285" s="12">
        <v>774.7</v>
      </c>
      <c r="P285" s="13">
        <v>6.4</v>
      </c>
      <c r="Q285" s="12">
        <v>11.2</v>
      </c>
      <c r="R285" s="12">
        <v>7</v>
      </c>
      <c r="S285" s="36">
        <f t="shared" si="13"/>
        <v>425.2</v>
      </c>
      <c r="T285" s="36" t="s">
        <v>95</v>
      </c>
      <c r="U285" s="12">
        <v>55</v>
      </c>
      <c r="V285" s="12">
        <v>692</v>
      </c>
    </row>
    <row r="286" spans="1:25" ht="12.75" customHeight="1" x14ac:dyDescent="0.3">
      <c r="A286" s="2"/>
      <c r="B286" s="23" t="str">
        <f t="shared" si="12"/>
        <v>WNRF 900# ANSI B16.47-MSS SP-44 Size 28"</v>
      </c>
      <c r="C286" s="9" t="s">
        <v>39</v>
      </c>
      <c r="D286" s="37" t="s">
        <v>96</v>
      </c>
      <c r="E286" s="9" t="s">
        <v>110</v>
      </c>
      <c r="F286" s="27" t="s">
        <v>44</v>
      </c>
      <c r="G286" s="11">
        <v>700</v>
      </c>
      <c r="H286" s="12">
        <v>1168.4000000000001</v>
      </c>
      <c r="I286" s="13">
        <v>304.89999999999998</v>
      </c>
      <c r="J286" s="13">
        <v>149.1</v>
      </c>
      <c r="K286" s="12">
        <v>800.1</v>
      </c>
      <c r="L286" s="12">
        <v>1022.4</v>
      </c>
      <c r="M286" s="33">
        <v>20</v>
      </c>
      <c r="N286" s="12">
        <v>79.2</v>
      </c>
      <c r="O286" s="12">
        <v>831.9</v>
      </c>
      <c r="P286" s="13">
        <v>6.4</v>
      </c>
      <c r="Q286" s="12">
        <v>12.7</v>
      </c>
      <c r="R286" s="12">
        <v>7</v>
      </c>
      <c r="S286" s="36">
        <f t="shared" si="13"/>
        <v>443.2</v>
      </c>
      <c r="T286" s="36" t="s">
        <v>99</v>
      </c>
      <c r="U286" s="12">
        <v>61</v>
      </c>
      <c r="V286" s="12">
        <v>822</v>
      </c>
    </row>
    <row r="287" spans="1:25" ht="12.75" customHeight="1" x14ac:dyDescent="0.3">
      <c r="A287" s="2"/>
      <c r="B287" s="23" t="str">
        <f t="shared" si="12"/>
        <v>WNRF 900# ANSI B16.47-MSS SP-44 Size 30"</v>
      </c>
      <c r="C287" s="9" t="s">
        <v>39</v>
      </c>
      <c r="D287" s="37" t="s">
        <v>96</v>
      </c>
      <c r="E287" s="9" t="s">
        <v>110</v>
      </c>
      <c r="F287" s="27" t="s">
        <v>45</v>
      </c>
      <c r="G287" s="11">
        <v>750</v>
      </c>
      <c r="H287" s="12">
        <v>1231.9000000000001</v>
      </c>
      <c r="I287" s="13">
        <v>317.60000000000002</v>
      </c>
      <c r="J287" s="13">
        <v>155.80000000000001</v>
      </c>
      <c r="K287" s="12">
        <v>857.2</v>
      </c>
      <c r="L287" s="12">
        <v>1085.9000000000001</v>
      </c>
      <c r="M287" s="33">
        <v>20</v>
      </c>
      <c r="N287" s="12">
        <v>79.2</v>
      </c>
      <c r="O287" s="12">
        <v>889</v>
      </c>
      <c r="P287" s="13">
        <v>6.4</v>
      </c>
      <c r="Q287" s="12">
        <v>12.7</v>
      </c>
      <c r="R287" s="12">
        <v>7</v>
      </c>
      <c r="S287" s="36">
        <f t="shared" si="13"/>
        <v>456.6</v>
      </c>
      <c r="T287" s="36" t="s">
        <v>99</v>
      </c>
      <c r="U287" s="12">
        <v>61</v>
      </c>
      <c r="V287" s="12">
        <v>962</v>
      </c>
    </row>
    <row r="288" spans="1:25" ht="12.75" customHeight="1" x14ac:dyDescent="0.3">
      <c r="A288" s="2"/>
      <c r="B288" s="23" t="str">
        <f t="shared" si="12"/>
        <v>WNRF 900# ANSI B16.47-MSS SP-44 Size 32"</v>
      </c>
      <c r="C288" s="9" t="s">
        <v>39</v>
      </c>
      <c r="D288" s="37" t="s">
        <v>96</v>
      </c>
      <c r="E288" s="9" t="s">
        <v>110</v>
      </c>
      <c r="F288" s="27" t="s">
        <v>46</v>
      </c>
      <c r="G288" s="11">
        <v>800</v>
      </c>
      <c r="H288" s="12">
        <v>1314.5</v>
      </c>
      <c r="I288" s="13">
        <v>336.6</v>
      </c>
      <c r="J288" s="13">
        <v>165.2</v>
      </c>
      <c r="K288" s="12">
        <v>914.4</v>
      </c>
      <c r="L288" s="12">
        <v>1155.7</v>
      </c>
      <c r="M288" s="33">
        <v>20</v>
      </c>
      <c r="N288" s="12">
        <v>85.9</v>
      </c>
      <c r="O288" s="12">
        <v>946.2</v>
      </c>
      <c r="P288" s="13">
        <v>6.4</v>
      </c>
      <c r="Q288" s="12">
        <v>12.7</v>
      </c>
      <c r="R288" s="12">
        <v>7</v>
      </c>
      <c r="S288" s="36">
        <f t="shared" si="13"/>
        <v>481.4</v>
      </c>
      <c r="T288" s="36" t="s">
        <v>100</v>
      </c>
      <c r="U288" s="12">
        <v>64</v>
      </c>
      <c r="V288" s="12">
        <v>1155</v>
      </c>
    </row>
    <row r="289" spans="1:22" ht="12.75" customHeight="1" x14ac:dyDescent="0.3">
      <c r="A289" s="2"/>
      <c r="B289" s="23" t="str">
        <f t="shared" si="12"/>
        <v>WNRF 900# ANSI B16.47-MSS SP-44 Size 34"</v>
      </c>
      <c r="C289" s="9" t="s">
        <v>39</v>
      </c>
      <c r="D289" s="37" t="s">
        <v>96</v>
      </c>
      <c r="E289" s="9" t="s">
        <v>110</v>
      </c>
      <c r="F289" s="27" t="s">
        <v>48</v>
      </c>
      <c r="G289" s="11">
        <v>850</v>
      </c>
      <c r="H289" s="12">
        <v>1397</v>
      </c>
      <c r="I289" s="13">
        <v>355.7</v>
      </c>
      <c r="J289" s="13">
        <v>171.5</v>
      </c>
      <c r="K289" s="12">
        <v>965.2</v>
      </c>
      <c r="L289" s="12">
        <v>1225.5999999999999</v>
      </c>
      <c r="M289" s="33">
        <v>20</v>
      </c>
      <c r="N289" s="12">
        <v>91.9</v>
      </c>
      <c r="O289" s="12">
        <v>1006.3</v>
      </c>
      <c r="P289" s="13">
        <v>6.4</v>
      </c>
      <c r="Q289" s="12">
        <v>14.2</v>
      </c>
      <c r="R289" s="12">
        <v>7</v>
      </c>
      <c r="S289" s="36">
        <f t="shared" si="13"/>
        <v>502</v>
      </c>
      <c r="T289" s="36" t="s">
        <v>107</v>
      </c>
      <c r="U289" s="12">
        <v>68</v>
      </c>
      <c r="V289" s="12">
        <v>1348</v>
      </c>
    </row>
    <row r="290" spans="1:22" ht="12.75" customHeight="1" x14ac:dyDescent="0.3">
      <c r="A290" s="2"/>
      <c r="B290" s="23" t="str">
        <f t="shared" si="12"/>
        <v>WNRF 900# ANSI B16.47-MSS SP-44 Size 36"</v>
      </c>
      <c r="C290" s="9" t="s">
        <v>39</v>
      </c>
      <c r="D290" s="37" t="s">
        <v>96</v>
      </c>
      <c r="E290" s="9" t="s">
        <v>110</v>
      </c>
      <c r="F290" s="27" t="s">
        <v>49</v>
      </c>
      <c r="G290" s="11">
        <v>900</v>
      </c>
      <c r="H290" s="12">
        <v>1460.5</v>
      </c>
      <c r="I290" s="13">
        <v>368.4</v>
      </c>
      <c r="J290" s="13">
        <v>177.9</v>
      </c>
      <c r="K290" s="12">
        <v>1022.3</v>
      </c>
      <c r="L290" s="12">
        <v>1289.0999999999999</v>
      </c>
      <c r="M290" s="33">
        <v>20</v>
      </c>
      <c r="N290" s="12">
        <v>91.9</v>
      </c>
      <c r="O290" s="12">
        <v>1063.8</v>
      </c>
      <c r="P290" s="13">
        <v>6.4</v>
      </c>
      <c r="Q290" s="12">
        <v>14.2</v>
      </c>
      <c r="R290" s="12">
        <v>7</v>
      </c>
      <c r="S290" s="36">
        <f t="shared" si="13"/>
        <v>514.79999999999995</v>
      </c>
      <c r="T290" s="36" t="s">
        <v>107</v>
      </c>
      <c r="U290" s="12">
        <v>68</v>
      </c>
      <c r="V290" s="12">
        <v>1541</v>
      </c>
    </row>
    <row r="291" spans="1:22" ht="12.75" customHeight="1" x14ac:dyDescent="0.3">
      <c r="A291" s="2"/>
      <c r="B291" s="23" t="str">
        <f t="shared" si="12"/>
        <v>WNRF 900# ANSI B16.47-MSS SP-44 Size 38"</v>
      </c>
      <c r="C291" s="9" t="s">
        <v>39</v>
      </c>
      <c r="D291" s="37" t="s">
        <v>96</v>
      </c>
      <c r="E291" s="9" t="s">
        <v>110</v>
      </c>
      <c r="F291" s="27" t="s">
        <v>50</v>
      </c>
      <c r="G291" s="11">
        <v>950</v>
      </c>
      <c r="H291" s="12">
        <v>1460.5</v>
      </c>
      <c r="I291" s="13">
        <v>359</v>
      </c>
      <c r="J291" s="13">
        <v>196.9</v>
      </c>
      <c r="K291" s="12">
        <v>1098.5</v>
      </c>
      <c r="L291" s="12">
        <v>1289.0999999999999</v>
      </c>
      <c r="M291" s="33">
        <v>20</v>
      </c>
      <c r="N291" s="12">
        <v>91.9</v>
      </c>
      <c r="O291" s="12">
        <v>1073.2</v>
      </c>
      <c r="P291" s="13">
        <v>6.4</v>
      </c>
      <c r="Q291" s="12">
        <v>19.100000000000001</v>
      </c>
      <c r="R291" s="12">
        <v>7</v>
      </c>
      <c r="S291" s="36">
        <f t="shared" si="13"/>
        <v>552.79999999999995</v>
      </c>
      <c r="T291" s="36" t="s">
        <v>107</v>
      </c>
      <c r="U291" s="12">
        <v>68</v>
      </c>
      <c r="V291" s="12">
        <v>1537</v>
      </c>
    </row>
    <row r="292" spans="1:22" ht="12.75" customHeight="1" x14ac:dyDescent="0.3">
      <c r="A292" s="2"/>
      <c r="B292" s="23" t="str">
        <f t="shared" si="12"/>
        <v>WNRF 900# ANSI B16.47-MSS SP-44 Size 40"</v>
      </c>
      <c r="C292" s="9" t="s">
        <v>39</v>
      </c>
      <c r="D292" s="37" t="s">
        <v>96</v>
      </c>
      <c r="E292" s="9" t="s">
        <v>110</v>
      </c>
      <c r="F292" s="27" t="s">
        <v>51</v>
      </c>
      <c r="G292" s="11">
        <v>1000</v>
      </c>
      <c r="H292" s="12">
        <v>1511.3</v>
      </c>
      <c r="I292" s="13">
        <v>369.9</v>
      </c>
      <c r="J292" s="13">
        <v>203.3</v>
      </c>
      <c r="K292" s="12">
        <v>1162</v>
      </c>
      <c r="L292" s="12">
        <v>1339.9</v>
      </c>
      <c r="M292" s="33">
        <v>24</v>
      </c>
      <c r="N292" s="12">
        <v>91.9</v>
      </c>
      <c r="O292" s="12">
        <v>1127.3</v>
      </c>
      <c r="P292" s="13">
        <v>6.4</v>
      </c>
      <c r="Q292" s="12">
        <v>20.6</v>
      </c>
      <c r="R292" s="12">
        <v>7</v>
      </c>
      <c r="S292" s="36">
        <f t="shared" si="13"/>
        <v>565.6</v>
      </c>
      <c r="T292" s="36" t="s">
        <v>107</v>
      </c>
      <c r="U292" s="12">
        <v>68</v>
      </c>
      <c r="V292" s="12">
        <v>1643</v>
      </c>
    </row>
    <row r="293" spans="1:22" ht="12.75" customHeight="1" x14ac:dyDescent="0.3">
      <c r="A293" s="2"/>
      <c r="B293" s="23" t="str">
        <f t="shared" si="12"/>
        <v>WNRF 900# ANSI B16.47-MSS SP-44 Size 42"</v>
      </c>
      <c r="C293" s="9" t="s">
        <v>39</v>
      </c>
      <c r="D293" s="37" t="s">
        <v>96</v>
      </c>
      <c r="E293" s="9" t="s">
        <v>110</v>
      </c>
      <c r="F293" s="27" t="s">
        <v>52</v>
      </c>
      <c r="G293" s="11">
        <v>1050</v>
      </c>
      <c r="H293" s="12">
        <v>1562.1</v>
      </c>
      <c r="I293" s="13">
        <v>377.7</v>
      </c>
      <c r="J293" s="13">
        <v>212.6</v>
      </c>
      <c r="K293" s="12">
        <v>1212.8</v>
      </c>
      <c r="L293" s="12">
        <v>1390.7</v>
      </c>
      <c r="M293" s="33">
        <v>24</v>
      </c>
      <c r="N293" s="12">
        <v>91.9</v>
      </c>
      <c r="O293" s="12">
        <v>1176.3</v>
      </c>
      <c r="P293" s="13">
        <v>6.4</v>
      </c>
      <c r="Q293" s="12">
        <v>20.6</v>
      </c>
      <c r="R293" s="12">
        <v>7</v>
      </c>
      <c r="S293" s="36">
        <f t="shared" si="13"/>
        <v>584.20000000000005</v>
      </c>
      <c r="T293" s="36" t="s">
        <v>107</v>
      </c>
      <c r="U293" s="12">
        <v>68</v>
      </c>
      <c r="V293" s="12">
        <v>1798</v>
      </c>
    </row>
    <row r="294" spans="1:22" ht="12.75" customHeight="1" x14ac:dyDescent="0.3">
      <c r="A294" s="2"/>
      <c r="B294" s="23" t="str">
        <f t="shared" si="12"/>
        <v>WNRF 900# ANSI B16.47-MSS SP-44 Size 44"</v>
      </c>
      <c r="C294" s="9" t="s">
        <v>39</v>
      </c>
      <c r="D294" s="37" t="s">
        <v>96</v>
      </c>
      <c r="E294" s="9" t="s">
        <v>110</v>
      </c>
      <c r="F294" s="27" t="s">
        <v>53</v>
      </c>
      <c r="G294" s="11">
        <v>1100</v>
      </c>
      <c r="H294" s="12">
        <v>1648</v>
      </c>
      <c r="I294" s="13">
        <v>397.1</v>
      </c>
      <c r="J294" s="13">
        <v>220.8</v>
      </c>
      <c r="K294" s="12">
        <v>1270</v>
      </c>
      <c r="L294" s="12">
        <v>1463.5</v>
      </c>
      <c r="M294" s="33">
        <v>24</v>
      </c>
      <c r="N294" s="12">
        <v>98.6</v>
      </c>
      <c r="O294" s="12">
        <v>1234.9000000000001</v>
      </c>
      <c r="P294" s="13">
        <v>6.4</v>
      </c>
      <c r="Q294" s="12">
        <v>22.4</v>
      </c>
      <c r="R294" s="12">
        <v>7</v>
      </c>
      <c r="S294" s="36">
        <f t="shared" si="13"/>
        <v>616.6</v>
      </c>
      <c r="T294" s="36" t="s">
        <v>109</v>
      </c>
      <c r="U294" s="12">
        <v>76</v>
      </c>
      <c r="V294" s="12">
        <v>1952</v>
      </c>
    </row>
    <row r="295" spans="1:22" ht="12.75" customHeight="1" x14ac:dyDescent="0.3">
      <c r="A295" s="2"/>
      <c r="B295" s="23" t="str">
        <f t="shared" si="12"/>
        <v>WNRF 900# ANSI B16.47-MSS SP-44 Size 46"</v>
      </c>
      <c r="C295" s="9" t="s">
        <v>39</v>
      </c>
      <c r="D295" s="37" t="s">
        <v>96</v>
      </c>
      <c r="E295" s="9" t="s">
        <v>110</v>
      </c>
      <c r="F295" s="27" t="s">
        <v>54</v>
      </c>
      <c r="G295" s="11">
        <v>1150</v>
      </c>
      <c r="H295" s="12">
        <v>1733.6</v>
      </c>
      <c r="I295" s="13">
        <v>417.4</v>
      </c>
      <c r="J295" s="13">
        <v>232</v>
      </c>
      <c r="K295" s="12">
        <v>1333.5</v>
      </c>
      <c r="L295" s="12">
        <v>1536.7</v>
      </c>
      <c r="M295" s="33">
        <v>24</v>
      </c>
      <c r="N295" s="12">
        <v>104.6</v>
      </c>
      <c r="O295" s="12">
        <v>1292.4000000000001</v>
      </c>
      <c r="P295" s="13">
        <v>6.4</v>
      </c>
      <c r="Q295" s="12">
        <v>22.4</v>
      </c>
      <c r="R295" s="12">
        <v>7</v>
      </c>
      <c r="S295" s="36">
        <f t="shared" si="13"/>
        <v>647</v>
      </c>
      <c r="T295" s="36" t="s">
        <v>112</v>
      </c>
      <c r="U295" s="12">
        <v>80</v>
      </c>
      <c r="V295" s="12">
        <v>2107</v>
      </c>
    </row>
    <row r="296" spans="1:22" ht="12.75" customHeight="1" x14ac:dyDescent="0.3">
      <c r="A296" s="2"/>
      <c r="B296" s="23" t="str">
        <f t="shared" si="12"/>
        <v>WNRF 900# ANSI B16.47-MSS SP-44 Size 48"</v>
      </c>
      <c r="C296" s="9" t="s">
        <v>39</v>
      </c>
      <c r="D296" s="37" t="s">
        <v>96</v>
      </c>
      <c r="E296" s="9" t="s">
        <v>110</v>
      </c>
      <c r="F296" s="27" t="s">
        <v>55</v>
      </c>
      <c r="G296" s="11">
        <v>1200</v>
      </c>
      <c r="H296" s="12">
        <v>1784.4</v>
      </c>
      <c r="I296" s="13">
        <v>423.9</v>
      </c>
      <c r="J296" s="13">
        <v>239.8</v>
      </c>
      <c r="K296" s="12">
        <v>1384.3</v>
      </c>
      <c r="L296" s="12">
        <v>1587.5</v>
      </c>
      <c r="M296" s="33">
        <v>24</v>
      </c>
      <c r="N296" s="12">
        <v>104.6</v>
      </c>
      <c r="O296" s="12">
        <v>1343.2</v>
      </c>
      <c r="P296" s="13">
        <v>6.4</v>
      </c>
      <c r="Q296" s="12">
        <v>23.8</v>
      </c>
      <c r="R296" s="12">
        <v>7</v>
      </c>
      <c r="S296" s="36">
        <f t="shared" si="13"/>
        <v>662.6</v>
      </c>
      <c r="T296" s="36" t="s">
        <v>112</v>
      </c>
      <c r="U296" s="12">
        <v>80</v>
      </c>
      <c r="V296" s="12">
        <v>2260</v>
      </c>
    </row>
    <row r="297" spans="1:22" ht="12.75" customHeight="1" x14ac:dyDescent="0.3">
      <c r="A297" s="2"/>
      <c r="B297" s="22" t="str">
        <f t="shared" si="12"/>
        <v>WNRF 150# BS 3293 Size 26"</v>
      </c>
      <c r="C297" s="9" t="s">
        <v>39</v>
      </c>
      <c r="D297" s="37" t="s">
        <v>61</v>
      </c>
      <c r="E297" s="9" t="s">
        <v>113</v>
      </c>
      <c r="F297" s="27" t="s">
        <v>41</v>
      </c>
      <c r="G297" s="11">
        <v>650</v>
      </c>
      <c r="H297" s="13">
        <v>870</v>
      </c>
      <c r="I297" s="13">
        <v>127</v>
      </c>
      <c r="J297" s="13">
        <v>50.8</v>
      </c>
      <c r="K297" s="13">
        <v>743</v>
      </c>
      <c r="L297" s="13">
        <v>806.5</v>
      </c>
      <c r="M297" s="32">
        <v>24</v>
      </c>
      <c r="N297" s="13">
        <v>34.9</v>
      </c>
      <c r="O297" s="13">
        <v>723.9</v>
      </c>
      <c r="P297" s="13">
        <v>1.6</v>
      </c>
      <c r="Q297" s="12" t="s">
        <v>42</v>
      </c>
      <c r="R297" s="13">
        <v>7</v>
      </c>
      <c r="S297" s="36">
        <f t="shared" si="13"/>
        <v>172.6</v>
      </c>
      <c r="T297" s="36" t="s">
        <v>82</v>
      </c>
      <c r="U297" s="13">
        <v>24</v>
      </c>
      <c r="V297" s="12">
        <v>118</v>
      </c>
    </row>
    <row r="298" spans="1:22" ht="12.75" customHeight="1" x14ac:dyDescent="0.3">
      <c r="A298" s="2"/>
      <c r="B298" s="23" t="str">
        <f t="shared" si="12"/>
        <v>WNRF 150# BS 3293 Size 28"</v>
      </c>
      <c r="C298" s="9" t="s">
        <v>39</v>
      </c>
      <c r="D298" s="37" t="s">
        <v>61</v>
      </c>
      <c r="E298" s="9" t="s">
        <v>113</v>
      </c>
      <c r="F298" s="27" t="s">
        <v>44</v>
      </c>
      <c r="G298" s="11">
        <v>700</v>
      </c>
      <c r="H298" s="13">
        <v>927.1</v>
      </c>
      <c r="I298" s="13">
        <v>128.6</v>
      </c>
      <c r="J298" s="13">
        <v>52.4</v>
      </c>
      <c r="K298" s="13">
        <v>793.8</v>
      </c>
      <c r="L298" s="13">
        <v>863.6</v>
      </c>
      <c r="M298" s="32">
        <v>28</v>
      </c>
      <c r="N298" s="13">
        <v>34.9</v>
      </c>
      <c r="O298" s="13">
        <v>781.1</v>
      </c>
      <c r="P298" s="13">
        <v>1.6</v>
      </c>
      <c r="Q298" s="12" t="s">
        <v>42</v>
      </c>
      <c r="R298" s="13">
        <v>7</v>
      </c>
      <c r="S298" s="36">
        <f t="shared" si="13"/>
        <v>175.8</v>
      </c>
      <c r="T298" s="36" t="s">
        <v>82</v>
      </c>
      <c r="U298" s="13">
        <v>24</v>
      </c>
      <c r="V298" s="12">
        <v>134</v>
      </c>
    </row>
    <row r="299" spans="1:22" ht="12.75" customHeight="1" x14ac:dyDescent="0.3">
      <c r="A299" s="2"/>
      <c r="B299" s="23" t="str">
        <f t="shared" si="12"/>
        <v>WNRF 150# BS 3293 Size 30"</v>
      </c>
      <c r="C299" s="9" t="s">
        <v>39</v>
      </c>
      <c r="D299" s="37" t="s">
        <v>61</v>
      </c>
      <c r="E299" s="9" t="s">
        <v>113</v>
      </c>
      <c r="F299" s="27" t="s">
        <v>45</v>
      </c>
      <c r="G299" s="11">
        <v>750</v>
      </c>
      <c r="H299" s="13">
        <v>984.3</v>
      </c>
      <c r="I299" s="13">
        <v>130.19999999999999</v>
      </c>
      <c r="J299" s="13">
        <v>54</v>
      </c>
      <c r="K299" s="13">
        <v>857.3</v>
      </c>
      <c r="L299" s="13">
        <v>914.4</v>
      </c>
      <c r="M299" s="32">
        <v>28</v>
      </c>
      <c r="N299" s="13">
        <v>34.9</v>
      </c>
      <c r="O299" s="13">
        <v>831.9</v>
      </c>
      <c r="P299" s="13">
        <v>1.6</v>
      </c>
      <c r="Q299" s="12" t="s">
        <v>42</v>
      </c>
      <c r="R299" s="13">
        <v>7</v>
      </c>
      <c r="S299" s="36">
        <f t="shared" si="13"/>
        <v>179</v>
      </c>
      <c r="T299" s="36" t="s">
        <v>82</v>
      </c>
      <c r="U299" s="13">
        <v>24</v>
      </c>
      <c r="V299" s="12">
        <v>153</v>
      </c>
    </row>
    <row r="300" spans="1:22" ht="12.75" customHeight="1" x14ac:dyDescent="0.3">
      <c r="A300" s="2"/>
      <c r="B300" s="23" t="str">
        <f t="shared" si="12"/>
        <v>WNRF 150# BS 3293 Size 32"</v>
      </c>
      <c r="C300" s="9" t="s">
        <v>39</v>
      </c>
      <c r="D300" s="37" t="s">
        <v>61</v>
      </c>
      <c r="E300" s="9" t="s">
        <v>113</v>
      </c>
      <c r="F300" s="27" t="s">
        <v>46</v>
      </c>
      <c r="G300" s="11">
        <v>800</v>
      </c>
      <c r="H300" s="13">
        <v>1060.5</v>
      </c>
      <c r="I300" s="13">
        <v>133.4</v>
      </c>
      <c r="J300" s="13">
        <v>57.2</v>
      </c>
      <c r="K300" s="13">
        <v>908.1</v>
      </c>
      <c r="L300" s="13">
        <v>977.9</v>
      </c>
      <c r="M300" s="32">
        <v>28</v>
      </c>
      <c r="N300" s="13">
        <v>41.3</v>
      </c>
      <c r="O300" s="13">
        <v>889</v>
      </c>
      <c r="P300" s="13">
        <v>1.6</v>
      </c>
      <c r="Q300" s="12" t="s">
        <v>42</v>
      </c>
      <c r="R300" s="13">
        <v>7</v>
      </c>
      <c r="S300" s="36">
        <f t="shared" si="13"/>
        <v>195.4</v>
      </c>
      <c r="T300" s="36" t="s">
        <v>57</v>
      </c>
      <c r="U300" s="13">
        <v>29</v>
      </c>
      <c r="V300" s="12">
        <v>190</v>
      </c>
    </row>
    <row r="301" spans="1:22" ht="12.75" customHeight="1" x14ac:dyDescent="0.3">
      <c r="A301" s="2"/>
      <c r="B301" s="23" t="str">
        <f t="shared" si="12"/>
        <v>WNRF 150# BS 3293 Size 34"</v>
      </c>
      <c r="C301" s="9" t="s">
        <v>39</v>
      </c>
      <c r="D301" s="37" t="s">
        <v>61</v>
      </c>
      <c r="E301" s="9" t="s">
        <v>113</v>
      </c>
      <c r="F301" s="27" t="s">
        <v>48</v>
      </c>
      <c r="G301" s="11">
        <v>850</v>
      </c>
      <c r="H301" s="13">
        <v>1111.3</v>
      </c>
      <c r="I301" s="13">
        <v>135</v>
      </c>
      <c r="J301" s="13">
        <v>58.8</v>
      </c>
      <c r="K301" s="13">
        <v>958.8</v>
      </c>
      <c r="L301" s="13">
        <v>1028.7</v>
      </c>
      <c r="M301" s="32">
        <v>32</v>
      </c>
      <c r="N301" s="13">
        <v>41.3</v>
      </c>
      <c r="O301" s="13">
        <v>939.8</v>
      </c>
      <c r="P301" s="13">
        <v>1.6</v>
      </c>
      <c r="Q301" s="12" t="s">
        <v>42</v>
      </c>
      <c r="R301" s="13">
        <v>7</v>
      </c>
      <c r="S301" s="36">
        <f t="shared" si="13"/>
        <v>198.6</v>
      </c>
      <c r="T301" s="36" t="s">
        <v>57</v>
      </c>
      <c r="U301" s="13">
        <v>29</v>
      </c>
      <c r="V301" s="12">
        <v>212</v>
      </c>
    </row>
    <row r="302" spans="1:22" ht="12.75" customHeight="1" x14ac:dyDescent="0.3">
      <c r="A302" s="2"/>
      <c r="B302" s="23" t="str">
        <f t="shared" si="12"/>
        <v>WNRF 150# BS 3293 Size 36"</v>
      </c>
      <c r="C302" s="9" t="s">
        <v>39</v>
      </c>
      <c r="D302" s="37" t="s">
        <v>61</v>
      </c>
      <c r="E302" s="9" t="s">
        <v>113</v>
      </c>
      <c r="F302" s="27" t="s">
        <v>49</v>
      </c>
      <c r="G302" s="11">
        <v>900</v>
      </c>
      <c r="H302" s="13">
        <v>1168.4000000000001</v>
      </c>
      <c r="I302" s="13">
        <v>136.5</v>
      </c>
      <c r="J302" s="13">
        <v>60.3</v>
      </c>
      <c r="K302" s="13">
        <v>1022.4</v>
      </c>
      <c r="L302" s="13">
        <v>1085.9000000000001</v>
      </c>
      <c r="M302" s="32">
        <v>32</v>
      </c>
      <c r="N302" s="13">
        <v>41.3</v>
      </c>
      <c r="O302" s="13">
        <v>997</v>
      </c>
      <c r="P302" s="13">
        <v>1.6</v>
      </c>
      <c r="Q302" s="12" t="s">
        <v>42</v>
      </c>
      <c r="R302" s="13">
        <v>7</v>
      </c>
      <c r="S302" s="36">
        <f t="shared" si="13"/>
        <v>201.6</v>
      </c>
      <c r="T302" s="36" t="s">
        <v>57</v>
      </c>
      <c r="U302" s="13">
        <v>29</v>
      </c>
      <c r="V302" s="12">
        <v>242</v>
      </c>
    </row>
    <row r="303" spans="1:22" ht="12.75" customHeight="1" x14ac:dyDescent="0.3">
      <c r="A303" s="2"/>
      <c r="B303" s="23" t="str">
        <f t="shared" si="12"/>
        <v>WNRF 150# BS 3293 Size 38"</v>
      </c>
      <c r="C303" s="9" t="s">
        <v>39</v>
      </c>
      <c r="D303" s="37" t="s">
        <v>61</v>
      </c>
      <c r="E303" s="9" t="s">
        <v>113</v>
      </c>
      <c r="F303" s="27" t="s">
        <v>50</v>
      </c>
      <c r="G303" s="11">
        <v>950</v>
      </c>
      <c r="H303" s="13">
        <v>1238.3</v>
      </c>
      <c r="I303" s="13">
        <v>136.5</v>
      </c>
      <c r="J303" s="13">
        <v>60.3</v>
      </c>
      <c r="K303" s="13">
        <v>1073.2</v>
      </c>
      <c r="L303" s="13">
        <v>1149.4000000000001</v>
      </c>
      <c r="M303" s="32">
        <v>32</v>
      </c>
      <c r="N303" s="13">
        <v>41.3</v>
      </c>
      <c r="O303" s="13">
        <v>1060.5</v>
      </c>
      <c r="P303" s="13">
        <v>1.6</v>
      </c>
      <c r="Q303" s="12" t="s">
        <v>42</v>
      </c>
      <c r="R303" s="13">
        <v>7</v>
      </c>
      <c r="S303" s="36">
        <f t="shared" si="13"/>
        <v>201.6</v>
      </c>
      <c r="T303" s="36" t="s">
        <v>57</v>
      </c>
      <c r="U303" s="13">
        <v>29</v>
      </c>
      <c r="V303" s="12">
        <v>284</v>
      </c>
    </row>
    <row r="304" spans="1:22" ht="12.75" customHeight="1" x14ac:dyDescent="0.3">
      <c r="A304" s="2"/>
      <c r="B304" s="23" t="str">
        <f t="shared" si="12"/>
        <v>WNRF 150# BS 3293 Size 40"</v>
      </c>
      <c r="C304" s="9" t="s">
        <v>39</v>
      </c>
      <c r="D304" s="37" t="s">
        <v>61</v>
      </c>
      <c r="E304" s="9" t="s">
        <v>113</v>
      </c>
      <c r="F304" s="27" t="s">
        <v>51</v>
      </c>
      <c r="G304" s="11">
        <v>1000</v>
      </c>
      <c r="H304" s="13">
        <v>1289.0999999999999</v>
      </c>
      <c r="I304" s="13">
        <v>139.69999999999999</v>
      </c>
      <c r="J304" s="13">
        <v>63.5</v>
      </c>
      <c r="K304" s="13">
        <v>1124</v>
      </c>
      <c r="L304" s="13">
        <v>1200.2</v>
      </c>
      <c r="M304" s="32">
        <v>36</v>
      </c>
      <c r="N304" s="13">
        <v>41.3</v>
      </c>
      <c r="O304" s="13">
        <v>1111.3</v>
      </c>
      <c r="P304" s="13">
        <v>1.6</v>
      </c>
      <c r="Q304" s="12" t="s">
        <v>42</v>
      </c>
      <c r="R304" s="13">
        <v>7</v>
      </c>
      <c r="S304" s="36">
        <f t="shared" si="13"/>
        <v>208</v>
      </c>
      <c r="T304" s="36" t="s">
        <v>57</v>
      </c>
      <c r="U304" s="13">
        <v>29</v>
      </c>
      <c r="V304" s="12">
        <v>311</v>
      </c>
    </row>
    <row r="305" spans="1:22" ht="12.75" customHeight="1" x14ac:dyDescent="0.3">
      <c r="A305" s="2"/>
      <c r="B305" s="23" t="str">
        <f t="shared" si="12"/>
        <v>WNRF 150# BS 3293 Size 42"</v>
      </c>
      <c r="C305" s="9" t="s">
        <v>39</v>
      </c>
      <c r="D305" s="37" t="s">
        <v>61</v>
      </c>
      <c r="E305" s="9" t="s">
        <v>113</v>
      </c>
      <c r="F305" s="27" t="s">
        <v>52</v>
      </c>
      <c r="G305" s="11">
        <v>1050</v>
      </c>
      <c r="H305" s="13">
        <v>1346.2</v>
      </c>
      <c r="I305" s="13">
        <v>142.9</v>
      </c>
      <c r="J305" s="13">
        <v>66.7</v>
      </c>
      <c r="K305" s="13">
        <v>1193.8</v>
      </c>
      <c r="L305" s="13">
        <v>1257.3</v>
      </c>
      <c r="M305" s="32">
        <v>36</v>
      </c>
      <c r="N305" s="13">
        <v>41.3</v>
      </c>
      <c r="O305" s="13">
        <v>1168.4000000000001</v>
      </c>
      <c r="P305" s="13">
        <v>1.6</v>
      </c>
      <c r="Q305" s="12" t="s">
        <v>42</v>
      </c>
      <c r="R305" s="13">
        <v>7</v>
      </c>
      <c r="S305" s="36">
        <f t="shared" si="13"/>
        <v>214.4</v>
      </c>
      <c r="T305" s="36" t="s">
        <v>57</v>
      </c>
      <c r="U305" s="13">
        <v>29</v>
      </c>
      <c r="V305" s="12">
        <v>358</v>
      </c>
    </row>
    <row r="306" spans="1:22" ht="12.75" customHeight="1" x14ac:dyDescent="0.3">
      <c r="A306" s="2"/>
      <c r="B306" s="23" t="str">
        <f t="shared" ref="B306:B320" si="14">CONCATENATE(C306,D306,$C$1,E306,$C$1,$F$1,$C$1,F306)</f>
        <v>WNRF 150# BS 3293 Size 44"</v>
      </c>
      <c r="C306" s="9" t="s">
        <v>39</v>
      </c>
      <c r="D306" s="37" t="s">
        <v>61</v>
      </c>
      <c r="E306" s="9" t="s">
        <v>113</v>
      </c>
      <c r="F306" s="27" t="s">
        <v>53</v>
      </c>
      <c r="G306" s="11">
        <v>1100</v>
      </c>
      <c r="H306" s="13">
        <v>1403.4</v>
      </c>
      <c r="I306" s="13">
        <v>142.9</v>
      </c>
      <c r="J306" s="13">
        <v>66.7</v>
      </c>
      <c r="K306" s="13">
        <v>1244.5999999999999</v>
      </c>
      <c r="L306" s="13">
        <v>1314.5</v>
      </c>
      <c r="M306" s="32">
        <v>40</v>
      </c>
      <c r="N306" s="13">
        <v>41.3</v>
      </c>
      <c r="O306" s="13">
        <v>1219.2</v>
      </c>
      <c r="P306" s="13">
        <v>1.6</v>
      </c>
      <c r="Q306" s="12" t="s">
        <v>42</v>
      </c>
      <c r="R306" s="13">
        <v>7</v>
      </c>
      <c r="S306" s="36">
        <f t="shared" si="13"/>
        <v>214.4</v>
      </c>
      <c r="T306" s="36" t="s">
        <v>57</v>
      </c>
      <c r="U306" s="13">
        <v>29</v>
      </c>
      <c r="V306" s="12">
        <v>376</v>
      </c>
    </row>
    <row r="307" spans="1:22" ht="12.75" customHeight="1" x14ac:dyDescent="0.3">
      <c r="A307" s="2"/>
      <c r="B307" s="23" t="str">
        <f t="shared" si="14"/>
        <v>WNRF 150# BS 3293 Size 46"</v>
      </c>
      <c r="C307" s="9" t="s">
        <v>39</v>
      </c>
      <c r="D307" s="37" t="s">
        <v>61</v>
      </c>
      <c r="E307" s="9" t="s">
        <v>113</v>
      </c>
      <c r="F307" s="27" t="s">
        <v>54</v>
      </c>
      <c r="G307" s="11">
        <v>1150</v>
      </c>
      <c r="H307" s="13">
        <v>1454.2</v>
      </c>
      <c r="I307" s="13">
        <v>144.5</v>
      </c>
      <c r="J307" s="13">
        <v>68.3</v>
      </c>
      <c r="K307" s="13">
        <v>1295.4000000000001</v>
      </c>
      <c r="L307" s="13">
        <v>1365.3</v>
      </c>
      <c r="M307" s="32">
        <v>40</v>
      </c>
      <c r="N307" s="13">
        <v>41.3</v>
      </c>
      <c r="O307" s="13">
        <v>1270</v>
      </c>
      <c r="P307" s="13">
        <v>1.6</v>
      </c>
      <c r="Q307" s="12" t="s">
        <v>42</v>
      </c>
      <c r="R307" s="13">
        <v>7</v>
      </c>
      <c r="S307" s="36">
        <f t="shared" si="13"/>
        <v>217.6</v>
      </c>
      <c r="T307" s="36" t="s">
        <v>57</v>
      </c>
      <c r="U307" s="13">
        <v>29</v>
      </c>
      <c r="V307" s="12">
        <v>399</v>
      </c>
    </row>
    <row r="308" spans="1:22" ht="12.75" customHeight="1" x14ac:dyDescent="0.3">
      <c r="A308" s="2"/>
      <c r="B308" s="23" t="str">
        <f t="shared" si="14"/>
        <v>WNRF 150# BS 3293 Size 48"</v>
      </c>
      <c r="C308" s="9" t="s">
        <v>39</v>
      </c>
      <c r="D308" s="37" t="s">
        <v>61</v>
      </c>
      <c r="E308" s="9" t="s">
        <v>113</v>
      </c>
      <c r="F308" s="27" t="s">
        <v>55</v>
      </c>
      <c r="G308" s="11">
        <v>1200</v>
      </c>
      <c r="H308" s="13">
        <v>1511.3</v>
      </c>
      <c r="I308" s="13">
        <v>146.1</v>
      </c>
      <c r="J308" s="13">
        <v>69.900000000000006</v>
      </c>
      <c r="K308" s="13">
        <v>1358.9</v>
      </c>
      <c r="L308" s="13">
        <v>1422.4</v>
      </c>
      <c r="M308" s="32">
        <v>44</v>
      </c>
      <c r="N308" s="13">
        <v>41.3</v>
      </c>
      <c r="O308" s="13">
        <v>1327.2</v>
      </c>
      <c r="P308" s="13">
        <v>1.6</v>
      </c>
      <c r="Q308" s="12" t="s">
        <v>42</v>
      </c>
      <c r="R308" s="13">
        <v>7</v>
      </c>
      <c r="S308" s="36">
        <f t="shared" si="13"/>
        <v>220.8</v>
      </c>
      <c r="T308" s="36" t="s">
        <v>57</v>
      </c>
      <c r="U308" s="13">
        <v>29</v>
      </c>
      <c r="V308" s="12">
        <v>440</v>
      </c>
    </row>
    <row r="309" spans="1:22" ht="12.75" customHeight="1" x14ac:dyDescent="0.3">
      <c r="A309" s="2"/>
      <c r="B309" s="22" t="str">
        <f t="shared" si="14"/>
        <v>WNRF 300# BS 3293 Size 26"</v>
      </c>
      <c r="C309" s="9" t="s">
        <v>39</v>
      </c>
      <c r="D309" s="37" t="s">
        <v>86</v>
      </c>
      <c r="E309" s="9" t="s">
        <v>113</v>
      </c>
      <c r="F309" s="27" t="s">
        <v>41</v>
      </c>
      <c r="G309" s="11">
        <v>650</v>
      </c>
      <c r="H309" s="13">
        <v>971.6</v>
      </c>
      <c r="I309" s="13">
        <v>184.2</v>
      </c>
      <c r="J309" s="13">
        <v>79.400000000000006</v>
      </c>
      <c r="K309" s="13">
        <v>749.3</v>
      </c>
      <c r="L309" s="13">
        <v>876.3</v>
      </c>
      <c r="M309" s="32">
        <v>28</v>
      </c>
      <c r="N309" s="13">
        <v>44.5</v>
      </c>
      <c r="O309" s="13">
        <v>720.7</v>
      </c>
      <c r="P309" s="13">
        <v>1.6</v>
      </c>
      <c r="Q309" s="12" t="s">
        <v>42</v>
      </c>
      <c r="R309" s="13">
        <v>7</v>
      </c>
      <c r="S309" s="36">
        <f t="shared" si="13"/>
        <v>249.8</v>
      </c>
      <c r="T309" s="36" t="s">
        <v>87</v>
      </c>
      <c r="U309" s="13">
        <v>34</v>
      </c>
      <c r="V309" s="12">
        <v>279</v>
      </c>
    </row>
    <row r="310" spans="1:22" ht="12.75" customHeight="1" x14ac:dyDescent="0.3">
      <c r="A310" s="2"/>
      <c r="B310" s="23" t="str">
        <f t="shared" si="14"/>
        <v>WNRF 300# BS 3293 Size 28"</v>
      </c>
      <c r="C310" s="9" t="s">
        <v>39</v>
      </c>
      <c r="D310" s="37" t="s">
        <v>86</v>
      </c>
      <c r="E310" s="9" t="s">
        <v>113</v>
      </c>
      <c r="F310" s="27" t="s">
        <v>44</v>
      </c>
      <c r="G310" s="11">
        <v>700</v>
      </c>
      <c r="H310" s="13">
        <v>1035.0999999999999</v>
      </c>
      <c r="I310" s="13">
        <v>196.9</v>
      </c>
      <c r="J310" s="13">
        <v>85.7</v>
      </c>
      <c r="K310" s="13">
        <v>800.1</v>
      </c>
      <c r="L310" s="13">
        <v>939.8</v>
      </c>
      <c r="M310" s="32">
        <v>28</v>
      </c>
      <c r="N310" s="13">
        <v>44.5</v>
      </c>
      <c r="O310" s="13">
        <v>774.7</v>
      </c>
      <c r="P310" s="13">
        <v>1.6</v>
      </c>
      <c r="Q310" s="12" t="s">
        <v>42</v>
      </c>
      <c r="R310" s="13">
        <v>7</v>
      </c>
      <c r="S310" s="36">
        <f t="shared" si="13"/>
        <v>262.39999999999998</v>
      </c>
      <c r="T310" s="36" t="s">
        <v>87</v>
      </c>
      <c r="U310" s="13">
        <v>34</v>
      </c>
      <c r="V310" s="12">
        <v>340</v>
      </c>
    </row>
    <row r="311" spans="1:22" ht="12.75" customHeight="1" x14ac:dyDescent="0.3">
      <c r="A311" s="2"/>
      <c r="B311" s="23" t="str">
        <f t="shared" si="14"/>
        <v>WNRF 300# BS 3293 Size 30"</v>
      </c>
      <c r="C311" s="9" t="s">
        <v>39</v>
      </c>
      <c r="D311" s="37" t="s">
        <v>86</v>
      </c>
      <c r="E311" s="9" t="s">
        <v>113</v>
      </c>
      <c r="F311" s="27" t="s">
        <v>45</v>
      </c>
      <c r="G311" s="11">
        <v>750</v>
      </c>
      <c r="H311" s="13">
        <v>1092.2</v>
      </c>
      <c r="I311" s="13">
        <v>209.6</v>
      </c>
      <c r="J311" s="13">
        <v>92.1</v>
      </c>
      <c r="K311" s="13">
        <v>857.3</v>
      </c>
      <c r="L311" s="13">
        <v>997</v>
      </c>
      <c r="M311" s="32">
        <v>28</v>
      </c>
      <c r="N311" s="13">
        <v>47.6</v>
      </c>
      <c r="O311" s="13">
        <v>827.1</v>
      </c>
      <c r="P311" s="13">
        <v>1.6</v>
      </c>
      <c r="Q311" s="12" t="s">
        <v>42</v>
      </c>
      <c r="R311" s="13">
        <v>7</v>
      </c>
      <c r="S311" s="36">
        <f t="shared" si="13"/>
        <v>279.2</v>
      </c>
      <c r="T311" s="36" t="s">
        <v>88</v>
      </c>
      <c r="U311" s="13">
        <v>36</v>
      </c>
      <c r="V311" s="12">
        <v>390</v>
      </c>
    </row>
    <row r="312" spans="1:22" ht="12.75" customHeight="1" x14ac:dyDescent="0.3">
      <c r="A312" s="2"/>
      <c r="B312" s="23" t="str">
        <f t="shared" si="14"/>
        <v>WNRF 300# BS 3293 Size 32"</v>
      </c>
      <c r="C312" s="9" t="s">
        <v>39</v>
      </c>
      <c r="D312" s="37" t="s">
        <v>86</v>
      </c>
      <c r="E312" s="9" t="s">
        <v>113</v>
      </c>
      <c r="F312" s="27" t="s">
        <v>46</v>
      </c>
      <c r="G312" s="11">
        <v>800</v>
      </c>
      <c r="H312" s="13">
        <v>1149.4000000000001</v>
      </c>
      <c r="I312" s="13">
        <v>222.3</v>
      </c>
      <c r="J312" s="13">
        <v>98.4</v>
      </c>
      <c r="K312" s="13">
        <v>914.4</v>
      </c>
      <c r="L312" s="13">
        <v>1054.0999999999999</v>
      </c>
      <c r="M312" s="32">
        <v>28</v>
      </c>
      <c r="N312" s="13">
        <v>50.8</v>
      </c>
      <c r="O312" s="13">
        <v>881.1</v>
      </c>
      <c r="P312" s="13">
        <v>1.6</v>
      </c>
      <c r="Q312" s="12" t="s">
        <v>42</v>
      </c>
      <c r="R312" s="13">
        <v>7</v>
      </c>
      <c r="S312" s="36">
        <f t="shared" si="13"/>
        <v>295.8</v>
      </c>
      <c r="T312" s="36" t="s">
        <v>89</v>
      </c>
      <c r="U312" s="13">
        <v>38</v>
      </c>
      <c r="V312" s="12">
        <v>435</v>
      </c>
    </row>
    <row r="313" spans="1:22" ht="12.75" customHeight="1" x14ac:dyDescent="0.3">
      <c r="A313" s="2"/>
      <c r="B313" s="23" t="str">
        <f t="shared" si="14"/>
        <v>WNRF 300# BS 3293 Size 34"</v>
      </c>
      <c r="C313" s="9" t="s">
        <v>39</v>
      </c>
      <c r="D313" s="37" t="s">
        <v>86</v>
      </c>
      <c r="E313" s="9" t="s">
        <v>113</v>
      </c>
      <c r="F313" s="27" t="s">
        <v>48</v>
      </c>
      <c r="G313" s="11">
        <v>850</v>
      </c>
      <c r="H313" s="13">
        <v>1206.5</v>
      </c>
      <c r="I313" s="13">
        <v>231.8</v>
      </c>
      <c r="J313" s="13">
        <v>101.6</v>
      </c>
      <c r="K313" s="13">
        <v>965.2</v>
      </c>
      <c r="L313" s="13">
        <v>1104.9000000000001</v>
      </c>
      <c r="M313" s="32">
        <v>28</v>
      </c>
      <c r="N313" s="13">
        <v>50.8</v>
      </c>
      <c r="O313" s="13">
        <v>936.6</v>
      </c>
      <c r="P313" s="13">
        <v>1.6</v>
      </c>
      <c r="Q313" s="12" t="s">
        <v>42</v>
      </c>
      <c r="R313" s="13">
        <v>7</v>
      </c>
      <c r="S313" s="36">
        <f t="shared" si="13"/>
        <v>302.2</v>
      </c>
      <c r="T313" s="36" t="s">
        <v>89</v>
      </c>
      <c r="U313" s="13">
        <v>38</v>
      </c>
      <c r="V313" s="12">
        <v>504</v>
      </c>
    </row>
    <row r="314" spans="1:22" ht="12.75" customHeight="1" x14ac:dyDescent="0.3">
      <c r="A314" s="2"/>
      <c r="B314" s="23" t="str">
        <f t="shared" si="14"/>
        <v>WNRF 300# BS 3293 Size 36"</v>
      </c>
      <c r="C314" s="9" t="s">
        <v>39</v>
      </c>
      <c r="D314" s="37" t="s">
        <v>86</v>
      </c>
      <c r="E314" s="9" t="s">
        <v>113</v>
      </c>
      <c r="F314" s="27" t="s">
        <v>49</v>
      </c>
      <c r="G314" s="11">
        <v>900</v>
      </c>
      <c r="H314" s="13">
        <v>1270</v>
      </c>
      <c r="I314" s="13">
        <v>241.3</v>
      </c>
      <c r="J314" s="13">
        <v>104.8</v>
      </c>
      <c r="K314" s="13">
        <v>1022.4</v>
      </c>
      <c r="L314" s="13">
        <v>1168.4000000000001</v>
      </c>
      <c r="M314" s="32">
        <v>32</v>
      </c>
      <c r="N314" s="13">
        <v>54</v>
      </c>
      <c r="O314" s="13">
        <v>990.6</v>
      </c>
      <c r="P314" s="13">
        <v>1.6</v>
      </c>
      <c r="Q314" s="12" t="s">
        <v>42</v>
      </c>
      <c r="R314" s="13">
        <v>7</v>
      </c>
      <c r="S314" s="36">
        <f t="shared" si="13"/>
        <v>316.60000000000002</v>
      </c>
      <c r="T314" s="36" t="s">
        <v>90</v>
      </c>
      <c r="U314" s="13">
        <v>42</v>
      </c>
      <c r="V314" s="12">
        <v>560</v>
      </c>
    </row>
    <row r="315" spans="1:22" ht="12.75" customHeight="1" x14ac:dyDescent="0.3">
      <c r="A315" s="2"/>
      <c r="B315" s="22" t="str">
        <f t="shared" si="14"/>
        <v>WNRF 600# BS 3293 Size 26"</v>
      </c>
      <c r="C315" s="9" t="s">
        <v>39</v>
      </c>
      <c r="D315" s="37" t="s">
        <v>92</v>
      </c>
      <c r="E315" s="9" t="s">
        <v>113</v>
      </c>
      <c r="F315" s="27" t="s">
        <v>41</v>
      </c>
      <c r="G315" s="11">
        <v>650</v>
      </c>
      <c r="H315" s="13">
        <v>1016</v>
      </c>
      <c r="I315" s="13">
        <v>228.7</v>
      </c>
      <c r="J315" s="13">
        <v>114.4</v>
      </c>
      <c r="K315" s="13">
        <v>749.3</v>
      </c>
      <c r="L315" s="13">
        <v>914.4</v>
      </c>
      <c r="M315" s="32">
        <v>28</v>
      </c>
      <c r="N315" s="13">
        <v>50.8</v>
      </c>
      <c r="O315" s="13">
        <v>747.7</v>
      </c>
      <c r="P315" s="13">
        <v>6.4</v>
      </c>
      <c r="Q315" s="12" t="s">
        <v>42</v>
      </c>
      <c r="R315" s="13">
        <v>7</v>
      </c>
      <c r="S315" s="36">
        <f t="shared" si="13"/>
        <v>327.8</v>
      </c>
      <c r="T315" s="36" t="s">
        <v>89</v>
      </c>
      <c r="U315" s="13">
        <v>38</v>
      </c>
      <c r="V315" s="12">
        <v>437</v>
      </c>
    </row>
    <row r="316" spans="1:22" ht="12.75" customHeight="1" x14ac:dyDescent="0.3">
      <c r="A316" s="2"/>
      <c r="B316" s="23" t="str">
        <f t="shared" si="14"/>
        <v>WNRF 600# BS 3293 Size 28"</v>
      </c>
      <c r="C316" s="9" t="s">
        <v>39</v>
      </c>
      <c r="D316" s="37" t="s">
        <v>92</v>
      </c>
      <c r="E316" s="9" t="s">
        <v>113</v>
      </c>
      <c r="F316" s="27" t="s">
        <v>44</v>
      </c>
      <c r="G316" s="11">
        <v>700</v>
      </c>
      <c r="H316" s="13">
        <v>1073.2</v>
      </c>
      <c r="I316" s="13">
        <v>241.4</v>
      </c>
      <c r="J316" s="13">
        <v>117.5</v>
      </c>
      <c r="K316" s="13">
        <v>800.1</v>
      </c>
      <c r="L316" s="13">
        <v>965.2</v>
      </c>
      <c r="M316" s="32">
        <v>28</v>
      </c>
      <c r="N316" s="13">
        <v>54</v>
      </c>
      <c r="O316" s="13">
        <v>803.3</v>
      </c>
      <c r="P316" s="13">
        <v>6.4</v>
      </c>
      <c r="Q316" s="12" t="s">
        <v>42</v>
      </c>
      <c r="R316" s="13">
        <v>7</v>
      </c>
      <c r="S316" s="36">
        <f t="shared" si="13"/>
        <v>342</v>
      </c>
      <c r="T316" s="36" t="s">
        <v>90</v>
      </c>
      <c r="U316" s="13">
        <v>42</v>
      </c>
      <c r="V316" s="12">
        <v>508</v>
      </c>
    </row>
    <row r="317" spans="1:22" ht="12.75" customHeight="1" x14ac:dyDescent="0.3">
      <c r="A317" s="2"/>
      <c r="B317" s="23" t="str">
        <f t="shared" si="14"/>
        <v>WNRF 600# BS 3293 Size 30"</v>
      </c>
      <c r="C317" s="9" t="s">
        <v>39</v>
      </c>
      <c r="D317" s="37" t="s">
        <v>92</v>
      </c>
      <c r="E317" s="9" t="s">
        <v>113</v>
      </c>
      <c r="F317" s="27" t="s">
        <v>45</v>
      </c>
      <c r="G317" s="11">
        <v>750</v>
      </c>
      <c r="H317" s="13">
        <v>1130.3</v>
      </c>
      <c r="I317" s="13">
        <v>254.1</v>
      </c>
      <c r="J317" s="13">
        <v>120.7</v>
      </c>
      <c r="K317" s="13">
        <v>857.3</v>
      </c>
      <c r="L317" s="13">
        <v>1022.4</v>
      </c>
      <c r="M317" s="32">
        <v>28</v>
      </c>
      <c r="N317" s="13">
        <v>54</v>
      </c>
      <c r="O317" s="13">
        <v>862</v>
      </c>
      <c r="P317" s="13">
        <v>6.4</v>
      </c>
      <c r="Q317" s="12" t="s">
        <v>42</v>
      </c>
      <c r="R317" s="13">
        <v>7</v>
      </c>
      <c r="S317" s="36">
        <f t="shared" si="13"/>
        <v>348.4</v>
      </c>
      <c r="T317" s="36" t="s">
        <v>90</v>
      </c>
      <c r="U317" s="13">
        <v>42</v>
      </c>
      <c r="V317" s="12">
        <v>559</v>
      </c>
    </row>
    <row r="318" spans="1:22" ht="12.75" customHeight="1" x14ac:dyDescent="0.3">
      <c r="A318" s="2"/>
      <c r="B318" s="23" t="str">
        <f t="shared" si="14"/>
        <v>WNRF 600# BS 3293 Size 32"</v>
      </c>
      <c r="C318" s="9" t="s">
        <v>39</v>
      </c>
      <c r="D318" s="37" t="s">
        <v>92</v>
      </c>
      <c r="E318" s="9" t="s">
        <v>113</v>
      </c>
      <c r="F318" s="27" t="s">
        <v>46</v>
      </c>
      <c r="G318" s="11">
        <v>800</v>
      </c>
      <c r="H318" s="13">
        <v>1193.8</v>
      </c>
      <c r="I318" s="13">
        <v>266.8</v>
      </c>
      <c r="J318" s="13">
        <v>123.9</v>
      </c>
      <c r="K318" s="13">
        <v>914.4</v>
      </c>
      <c r="L318" s="13">
        <v>1079.5</v>
      </c>
      <c r="M318" s="32">
        <v>28</v>
      </c>
      <c r="N318" s="13">
        <v>60.3</v>
      </c>
      <c r="O318" s="13">
        <v>917.6</v>
      </c>
      <c r="P318" s="13">
        <v>6.4</v>
      </c>
      <c r="Q318" s="12" t="s">
        <v>42</v>
      </c>
      <c r="R318" s="13">
        <v>7</v>
      </c>
      <c r="S318" s="36">
        <f t="shared" ref="S318:S320" si="15">(J318+U318+8)*2+R318</f>
        <v>360.8</v>
      </c>
      <c r="T318" s="36" t="s">
        <v>93</v>
      </c>
      <c r="U318" s="13">
        <v>45</v>
      </c>
      <c r="V318" s="12">
        <v>680</v>
      </c>
    </row>
    <row r="319" spans="1:22" ht="12.75" customHeight="1" x14ac:dyDescent="0.3">
      <c r="A319" s="2"/>
      <c r="B319" s="23" t="str">
        <f t="shared" si="14"/>
        <v>WNRF 600# BS 3293 Size 34"</v>
      </c>
      <c r="C319" s="9" t="s">
        <v>39</v>
      </c>
      <c r="D319" s="37" t="s">
        <v>92</v>
      </c>
      <c r="E319" s="9" t="s">
        <v>113</v>
      </c>
      <c r="F319" s="27" t="s">
        <v>48</v>
      </c>
      <c r="G319" s="11">
        <v>850</v>
      </c>
      <c r="H319" s="13">
        <v>1244.5999999999999</v>
      </c>
      <c r="I319" s="13">
        <v>276.3</v>
      </c>
      <c r="J319" s="13">
        <v>127.1</v>
      </c>
      <c r="K319" s="13">
        <v>965.2</v>
      </c>
      <c r="L319" s="13">
        <v>1130.3</v>
      </c>
      <c r="M319" s="32">
        <v>28</v>
      </c>
      <c r="N319" s="13">
        <v>60.3</v>
      </c>
      <c r="O319" s="13">
        <v>973.1</v>
      </c>
      <c r="P319" s="13">
        <v>6.4</v>
      </c>
      <c r="Q319" s="12" t="s">
        <v>42</v>
      </c>
      <c r="R319" s="13">
        <v>7</v>
      </c>
      <c r="S319" s="36">
        <f t="shared" si="15"/>
        <v>367.2</v>
      </c>
      <c r="T319" s="36" t="s">
        <v>93</v>
      </c>
      <c r="U319" s="13">
        <v>45</v>
      </c>
      <c r="V319" s="12">
        <v>717</v>
      </c>
    </row>
    <row r="320" spans="1:22" ht="12.75" customHeight="1" x14ac:dyDescent="0.3">
      <c r="A320" s="2"/>
      <c r="B320" s="23" t="str">
        <f t="shared" si="14"/>
        <v>WNRF 600# BS 3293 Size 36"</v>
      </c>
      <c r="C320" s="9" t="s">
        <v>39</v>
      </c>
      <c r="D320" s="37" t="s">
        <v>92</v>
      </c>
      <c r="E320" s="9" t="s">
        <v>113</v>
      </c>
      <c r="F320" s="27" t="s">
        <v>49</v>
      </c>
      <c r="G320" s="11">
        <v>900</v>
      </c>
      <c r="H320" s="13">
        <v>1314.5</v>
      </c>
      <c r="I320" s="13">
        <v>289</v>
      </c>
      <c r="J320" s="13">
        <v>130.19999999999999</v>
      </c>
      <c r="K320" s="13">
        <v>1022.4</v>
      </c>
      <c r="L320" s="13">
        <v>1193.8</v>
      </c>
      <c r="M320" s="32">
        <v>28</v>
      </c>
      <c r="N320" s="13">
        <v>66.7</v>
      </c>
      <c r="O320" s="13">
        <v>1031.9000000000001</v>
      </c>
      <c r="P320" s="13">
        <v>6.4</v>
      </c>
      <c r="Q320" s="12" t="s">
        <v>42</v>
      </c>
      <c r="R320" s="13">
        <v>7</v>
      </c>
      <c r="S320" s="36">
        <f t="shared" si="15"/>
        <v>385.4</v>
      </c>
      <c r="T320" s="36" t="s">
        <v>94</v>
      </c>
      <c r="U320" s="13">
        <v>51</v>
      </c>
      <c r="V320" s="12">
        <v>780</v>
      </c>
    </row>
    <row r="321" spans="1:13" ht="19.5" customHeight="1" x14ac:dyDescent="0.25"/>
    <row r="322" spans="1:13" ht="12.75" customHeight="1" x14ac:dyDescent="0.3">
      <c r="A322" s="16"/>
    </row>
    <row r="323" spans="1:13" ht="12.75" customHeight="1" x14ac:dyDescent="0.25">
      <c r="C323" s="6"/>
      <c r="D323" s="24"/>
      <c r="E323" s="6"/>
      <c r="F323" s="24"/>
      <c r="I323" s="6"/>
      <c r="M323" s="24"/>
    </row>
    <row r="324" spans="1:13" ht="12.75" customHeight="1" x14ac:dyDescent="0.25">
      <c r="C324" s="6"/>
      <c r="D324" s="24"/>
      <c r="E324" s="6"/>
      <c r="F324" s="24"/>
      <c r="I324" s="6"/>
      <c r="M324" s="24"/>
    </row>
    <row r="325" spans="1:13" ht="12.75" customHeight="1" x14ac:dyDescent="0.25">
      <c r="C325" s="6"/>
      <c r="D325" s="24"/>
      <c r="E325" s="6"/>
      <c r="F325" s="24"/>
      <c r="I325" s="6"/>
      <c r="M325" s="24"/>
    </row>
    <row r="326" spans="1:13" ht="12.75" customHeight="1" x14ac:dyDescent="0.25">
      <c r="C326" s="6"/>
      <c r="D326" s="24"/>
      <c r="E326" s="6"/>
      <c r="F326" s="24"/>
      <c r="I326" s="6"/>
      <c r="M326" s="24"/>
    </row>
    <row r="327" spans="1:13" ht="12.75" customHeight="1" x14ac:dyDescent="0.25">
      <c r="C327" s="6"/>
      <c r="D327" s="24"/>
      <c r="E327" s="6"/>
      <c r="F327" s="24"/>
      <c r="I327" s="6"/>
      <c r="M327" s="24"/>
    </row>
    <row r="328" spans="1:13" ht="12.75" customHeight="1" x14ac:dyDescent="0.25">
      <c r="C328" s="6"/>
      <c r="D328" s="24"/>
      <c r="E328" s="6"/>
      <c r="F328" s="24"/>
      <c r="I328" s="6"/>
      <c r="M328" s="24"/>
    </row>
    <row r="329" spans="1:13" ht="12.75" customHeight="1" x14ac:dyDescent="0.25">
      <c r="C329" s="6"/>
      <c r="D329" s="24"/>
      <c r="E329" s="6"/>
      <c r="F329" s="24"/>
      <c r="I329" s="6"/>
      <c r="M329" s="24"/>
    </row>
    <row r="330" spans="1:13" ht="12.75" customHeight="1" x14ac:dyDescent="0.25">
      <c r="C330" s="6"/>
      <c r="D330" s="24"/>
      <c r="E330" s="6"/>
      <c r="F330" s="24"/>
      <c r="I330" s="6"/>
      <c r="M330" s="24"/>
    </row>
    <row r="331" spans="1:13" ht="12.75" customHeight="1" x14ac:dyDescent="0.25">
      <c r="C331" s="6"/>
      <c r="D331" s="24"/>
      <c r="E331" s="6"/>
      <c r="F331" s="24"/>
      <c r="I331" s="6"/>
      <c r="M331" s="24"/>
    </row>
    <row r="332" spans="1:13" ht="12.75" customHeight="1" x14ac:dyDescent="0.25">
      <c r="C332" s="6"/>
      <c r="D332" s="24"/>
      <c r="E332" s="6"/>
      <c r="F332" s="24"/>
      <c r="I332" s="6"/>
      <c r="M332" s="24"/>
    </row>
    <row r="333" spans="1:13" ht="12.75" customHeight="1" x14ac:dyDescent="0.25">
      <c r="C333" s="6"/>
      <c r="D333" s="24"/>
      <c r="E333" s="6"/>
      <c r="F333" s="24"/>
      <c r="I333" s="6"/>
      <c r="M333" s="24"/>
    </row>
    <row r="334" spans="1:13" ht="12.75" customHeight="1" x14ac:dyDescent="0.25">
      <c r="C334" s="6"/>
      <c r="D334" s="24"/>
      <c r="E334" s="6"/>
      <c r="F334" s="24"/>
      <c r="I334" s="6"/>
      <c r="M334" s="24"/>
    </row>
    <row r="335" spans="1:13" ht="12.75" customHeight="1" x14ac:dyDescent="0.25">
      <c r="C335" s="6"/>
      <c r="D335" s="24"/>
      <c r="E335" s="6"/>
      <c r="F335" s="24"/>
      <c r="I335" s="6"/>
      <c r="M335" s="24"/>
    </row>
    <row r="336" spans="1:13" ht="12.75" customHeight="1" x14ac:dyDescent="0.25">
      <c r="C336" s="6"/>
      <c r="D336" s="24"/>
      <c r="E336" s="6"/>
      <c r="F336" s="24"/>
      <c r="I336" s="6"/>
      <c r="M336" s="24"/>
    </row>
    <row r="337" spans="3:13" ht="12.75" customHeight="1" x14ac:dyDescent="0.25">
      <c r="C337" s="6"/>
      <c r="D337" s="24"/>
      <c r="E337" s="6"/>
      <c r="F337" s="24"/>
      <c r="I337" s="6"/>
      <c r="M337" s="24"/>
    </row>
    <row r="338" spans="3:13" ht="12.75" customHeight="1" x14ac:dyDescent="0.25">
      <c r="C338" s="6"/>
      <c r="D338" s="24"/>
      <c r="E338" s="6"/>
      <c r="F338" s="24"/>
      <c r="I338" s="6"/>
      <c r="M338" s="24"/>
    </row>
    <row r="339" spans="3:13" ht="12.75" customHeight="1" x14ac:dyDescent="0.25">
      <c r="C339" s="6"/>
      <c r="D339" s="24"/>
      <c r="E339" s="6"/>
      <c r="F339" s="24"/>
      <c r="I339" s="6"/>
      <c r="M339" s="24"/>
    </row>
    <row r="340" spans="3:13" ht="12.75" customHeight="1" x14ac:dyDescent="0.25">
      <c r="C340" s="6"/>
      <c r="D340" s="24"/>
      <c r="E340" s="6"/>
      <c r="F340" s="24"/>
      <c r="I340" s="6"/>
      <c r="M340" s="24"/>
    </row>
    <row r="341" spans="3:13" ht="12.75" customHeight="1" x14ac:dyDescent="0.25">
      <c r="C341" s="6"/>
      <c r="D341" s="24"/>
      <c r="E341" s="6"/>
      <c r="F341" s="24"/>
      <c r="I341" s="6"/>
      <c r="M341" s="24"/>
    </row>
    <row r="342" spans="3:13" ht="12.75" customHeight="1" x14ac:dyDescent="0.25">
      <c r="C342" s="6"/>
      <c r="D342" s="24"/>
      <c r="E342" s="6"/>
      <c r="F342" s="24"/>
      <c r="I342" s="6"/>
      <c r="M342" s="24"/>
    </row>
    <row r="343" spans="3:13" ht="12.75" customHeight="1" x14ac:dyDescent="0.25">
      <c r="C343" s="6"/>
      <c r="D343" s="24"/>
      <c r="E343" s="6"/>
      <c r="F343" s="24"/>
      <c r="I343" s="6"/>
      <c r="M343" s="24"/>
    </row>
    <row r="344" spans="3:13" ht="12.75" customHeight="1" x14ac:dyDescent="0.25">
      <c r="C344" s="6"/>
      <c r="D344" s="24"/>
      <c r="E344" s="6"/>
      <c r="F344" s="24"/>
      <c r="I344" s="6"/>
      <c r="M344" s="24"/>
    </row>
    <row r="345" spans="3:13" ht="12.75" customHeight="1" x14ac:dyDescent="0.25">
      <c r="C345" s="6"/>
      <c r="D345" s="24"/>
      <c r="E345" s="6"/>
      <c r="F345" s="24"/>
      <c r="I345" s="6"/>
      <c r="M345" s="24"/>
    </row>
    <row r="346" spans="3:13" ht="12.75" customHeight="1" x14ac:dyDescent="0.25">
      <c r="C346" s="6"/>
      <c r="D346" s="24"/>
      <c r="E346" s="6"/>
      <c r="F346" s="24"/>
      <c r="I346" s="6"/>
      <c r="M346" s="24"/>
    </row>
    <row r="347" spans="3:13" ht="12.75" customHeight="1" x14ac:dyDescent="0.25">
      <c r="C347" s="6"/>
      <c r="D347" s="24"/>
      <c r="E347" s="6"/>
      <c r="F347" s="24"/>
      <c r="I347" s="6"/>
      <c r="M347" s="24"/>
    </row>
    <row r="348" spans="3:13" ht="12.75" customHeight="1" x14ac:dyDescent="0.25">
      <c r="C348" s="6"/>
      <c r="D348" s="24"/>
      <c r="E348" s="6"/>
      <c r="F348" s="24"/>
      <c r="I348" s="6"/>
      <c r="M348" s="24"/>
    </row>
    <row r="349" spans="3:13" ht="12.75" customHeight="1" x14ac:dyDescent="0.25">
      <c r="C349" s="6"/>
      <c r="D349" s="24"/>
      <c r="E349" s="6"/>
      <c r="F349" s="24"/>
      <c r="I349" s="6"/>
      <c r="M349" s="24"/>
    </row>
    <row r="350" spans="3:13" ht="12.75" customHeight="1" x14ac:dyDescent="0.25">
      <c r="C350" s="6"/>
      <c r="D350" s="24"/>
      <c r="E350" s="6"/>
      <c r="F350" s="24"/>
      <c r="I350" s="6"/>
      <c r="M350" s="24"/>
    </row>
    <row r="351" spans="3:13" ht="12.75" customHeight="1" x14ac:dyDescent="0.25">
      <c r="C351" s="6"/>
      <c r="D351" s="24"/>
      <c r="E351" s="6"/>
      <c r="F351" s="24"/>
      <c r="I351" s="6"/>
      <c r="M351" s="24"/>
    </row>
    <row r="352" spans="3:13" ht="12.75" customHeight="1" x14ac:dyDescent="0.25">
      <c r="C352" s="6"/>
      <c r="D352" s="24"/>
      <c r="E352" s="6"/>
      <c r="F352" s="24"/>
      <c r="I352" s="6"/>
      <c r="M352" s="24"/>
    </row>
    <row r="353" spans="3:13" ht="12.75" customHeight="1" x14ac:dyDescent="0.25">
      <c r="C353" s="6"/>
      <c r="D353" s="24"/>
      <c r="E353" s="6"/>
      <c r="F353" s="24"/>
      <c r="I353" s="6"/>
      <c r="M353" s="24"/>
    </row>
    <row r="354" spans="3:13" ht="12.75" customHeight="1" x14ac:dyDescent="0.25">
      <c r="C354" s="6"/>
      <c r="D354" s="24"/>
      <c r="E354" s="6"/>
      <c r="F354" s="24"/>
      <c r="I354" s="6"/>
      <c r="M354" s="24"/>
    </row>
    <row r="355" spans="3:13" ht="12.75" customHeight="1" x14ac:dyDescent="0.25">
      <c r="C355" s="6"/>
      <c r="D355" s="24"/>
      <c r="E355" s="6"/>
      <c r="F355" s="24"/>
      <c r="I355" s="6"/>
      <c r="M355" s="24"/>
    </row>
    <row r="356" spans="3:13" ht="12.75" customHeight="1" x14ac:dyDescent="0.25">
      <c r="C356" s="6"/>
      <c r="D356" s="24"/>
      <c r="E356" s="6"/>
      <c r="F356" s="24"/>
      <c r="I356" s="6"/>
      <c r="M356" s="24"/>
    </row>
    <row r="357" spans="3:13" ht="12.75" customHeight="1" x14ac:dyDescent="0.25">
      <c r="C357" s="6"/>
      <c r="D357" s="24"/>
      <c r="E357" s="6"/>
      <c r="F357" s="24"/>
      <c r="I357" s="6"/>
      <c r="M357" s="24"/>
    </row>
    <row r="358" spans="3:13" ht="12.75" customHeight="1" x14ac:dyDescent="0.25">
      <c r="C358" s="6"/>
      <c r="D358" s="24"/>
      <c r="E358" s="6"/>
      <c r="F358" s="24"/>
      <c r="I358" s="6"/>
      <c r="M358" s="24"/>
    </row>
    <row r="359" spans="3:13" ht="12.75" customHeight="1" x14ac:dyDescent="0.25">
      <c r="C359" s="6"/>
      <c r="D359" s="24"/>
      <c r="E359" s="6"/>
      <c r="F359" s="24"/>
      <c r="I359" s="6"/>
      <c r="M359" s="24"/>
    </row>
    <row r="360" spans="3:13" ht="12.75" customHeight="1" x14ac:dyDescent="0.25">
      <c r="C360" s="6"/>
      <c r="D360" s="24"/>
      <c r="E360" s="6"/>
      <c r="F360" s="24"/>
      <c r="I360" s="6"/>
      <c r="M360" s="24"/>
    </row>
    <row r="361" spans="3:13" ht="12.75" customHeight="1" x14ac:dyDescent="0.25">
      <c r="C361" s="6"/>
      <c r="D361" s="24"/>
      <c r="E361" s="6"/>
      <c r="F361" s="24"/>
      <c r="I361" s="6"/>
      <c r="M361" s="24"/>
    </row>
    <row r="362" spans="3:13" ht="12.75" customHeight="1" x14ac:dyDescent="0.25">
      <c r="C362" s="6"/>
      <c r="D362" s="24"/>
      <c r="E362" s="6"/>
      <c r="F362" s="24"/>
      <c r="I362" s="6"/>
      <c r="M362" s="24"/>
    </row>
    <row r="363" spans="3:13" ht="12.75" customHeight="1" x14ac:dyDescent="0.25">
      <c r="C363" s="6"/>
      <c r="D363" s="24"/>
      <c r="E363" s="6"/>
      <c r="F363" s="24"/>
      <c r="I363" s="6"/>
      <c r="M363" s="24"/>
    </row>
    <row r="364" spans="3:13" ht="12.75" customHeight="1" x14ac:dyDescent="0.25">
      <c r="C364" s="6"/>
      <c r="D364" s="24"/>
      <c r="E364" s="6"/>
      <c r="F364" s="24"/>
      <c r="I364" s="6"/>
      <c r="M364" s="24"/>
    </row>
    <row r="365" spans="3:13" ht="12.75" customHeight="1" x14ac:dyDescent="0.25">
      <c r="C365" s="6"/>
      <c r="D365" s="24"/>
      <c r="E365" s="6"/>
      <c r="F365" s="24"/>
      <c r="I365" s="6"/>
      <c r="M365" s="24"/>
    </row>
    <row r="366" spans="3:13" ht="12.75" customHeight="1" x14ac:dyDescent="0.25">
      <c r="C366" s="6"/>
      <c r="D366" s="24"/>
      <c r="E366" s="6"/>
      <c r="F366" s="24"/>
      <c r="I366" s="6"/>
      <c r="M366" s="24"/>
    </row>
    <row r="367" spans="3:13" ht="12.75" customHeight="1" x14ac:dyDescent="0.25">
      <c r="C367" s="6"/>
      <c r="D367" s="24"/>
      <c r="E367" s="6"/>
      <c r="F367" s="24"/>
      <c r="I367" s="6"/>
      <c r="M367" s="24"/>
    </row>
    <row r="368" spans="3:13" ht="12.75" customHeight="1" x14ac:dyDescent="0.25">
      <c r="C368" s="6"/>
      <c r="D368" s="24"/>
      <c r="E368" s="6"/>
      <c r="F368" s="24"/>
      <c r="I368" s="6"/>
      <c r="M368" s="24"/>
    </row>
    <row r="369" spans="3:13" ht="12.75" customHeight="1" x14ac:dyDescent="0.25">
      <c r="C369" s="6"/>
      <c r="D369" s="24"/>
      <c r="E369" s="6"/>
      <c r="F369" s="24"/>
      <c r="I369" s="6"/>
      <c r="M369" s="24"/>
    </row>
    <row r="370" spans="3:13" ht="12.75" customHeight="1" x14ac:dyDescent="0.25">
      <c r="C370" s="6"/>
      <c r="D370" s="24"/>
      <c r="E370" s="6"/>
      <c r="F370" s="24"/>
      <c r="I370" s="6"/>
      <c r="M370" s="24"/>
    </row>
    <row r="371" spans="3:13" ht="12.75" customHeight="1" x14ac:dyDescent="0.25">
      <c r="C371" s="6"/>
      <c r="D371" s="24"/>
      <c r="E371" s="6"/>
      <c r="F371" s="24"/>
      <c r="I371" s="6"/>
      <c r="M371" s="24"/>
    </row>
    <row r="372" spans="3:13" ht="12.75" customHeight="1" x14ac:dyDescent="0.25">
      <c r="C372" s="6"/>
      <c r="D372" s="24"/>
      <c r="E372" s="6"/>
      <c r="F372" s="24"/>
      <c r="I372" s="6"/>
      <c r="M372" s="24"/>
    </row>
    <row r="373" spans="3:13" ht="12.75" customHeight="1" x14ac:dyDescent="0.25">
      <c r="C373" s="6"/>
      <c r="D373" s="24"/>
      <c r="E373" s="6"/>
      <c r="F373" s="24"/>
      <c r="I373" s="6"/>
      <c r="M373" s="24"/>
    </row>
    <row r="374" spans="3:13" ht="12.75" customHeight="1" x14ac:dyDescent="0.25">
      <c r="C374" s="6"/>
      <c r="D374" s="24"/>
      <c r="E374" s="6"/>
      <c r="F374" s="24"/>
      <c r="I374" s="6"/>
      <c r="M374" s="24"/>
    </row>
    <row r="375" spans="3:13" ht="12.75" customHeight="1" x14ac:dyDescent="0.25">
      <c r="C375" s="6"/>
      <c r="D375" s="24"/>
      <c r="E375" s="6"/>
      <c r="F375" s="24"/>
      <c r="I375" s="6"/>
      <c r="M375" s="24"/>
    </row>
    <row r="376" spans="3:13" ht="12.75" customHeight="1" x14ac:dyDescent="0.25">
      <c r="C376" s="6"/>
      <c r="D376" s="24"/>
      <c r="E376" s="6"/>
      <c r="F376" s="24"/>
      <c r="I376" s="6"/>
      <c r="M376" s="24"/>
    </row>
    <row r="377" spans="3:13" ht="12.75" customHeight="1" x14ac:dyDescent="0.25">
      <c r="C377" s="6"/>
      <c r="D377" s="24"/>
      <c r="E377" s="6"/>
      <c r="F377" s="24"/>
      <c r="I377" s="6"/>
      <c r="M377" s="24"/>
    </row>
    <row r="378" spans="3:13" ht="12.75" customHeight="1" x14ac:dyDescent="0.25">
      <c r="C378" s="6"/>
      <c r="D378" s="24"/>
      <c r="E378" s="6"/>
      <c r="F378" s="24"/>
      <c r="I378" s="6"/>
      <c r="M378" s="24"/>
    </row>
    <row r="379" spans="3:13" ht="12.75" customHeight="1" x14ac:dyDescent="0.25">
      <c r="C379" s="6"/>
      <c r="D379" s="24"/>
      <c r="E379" s="6"/>
      <c r="F379" s="24"/>
      <c r="I379" s="6"/>
      <c r="M379" s="24"/>
    </row>
    <row r="380" spans="3:13" ht="12.75" customHeight="1" x14ac:dyDescent="0.25">
      <c r="C380" s="6"/>
      <c r="D380" s="24"/>
      <c r="E380" s="6"/>
      <c r="F380" s="24"/>
      <c r="I380" s="6"/>
      <c r="M380" s="24"/>
    </row>
    <row r="381" spans="3:13" ht="12.75" customHeight="1" x14ac:dyDescent="0.25">
      <c r="C381" s="6"/>
      <c r="D381" s="24"/>
      <c r="E381" s="6"/>
      <c r="F381" s="24"/>
      <c r="I381" s="6"/>
      <c r="M381" s="24"/>
    </row>
    <row r="382" spans="3:13" ht="12.75" customHeight="1" x14ac:dyDescent="0.25">
      <c r="C382" s="6"/>
      <c r="D382" s="24"/>
      <c r="E382" s="6"/>
      <c r="F382" s="24"/>
      <c r="I382" s="6"/>
      <c r="M382" s="24"/>
    </row>
    <row r="383" spans="3:13" ht="12.75" customHeight="1" x14ac:dyDescent="0.25">
      <c r="C383" s="6"/>
      <c r="D383" s="24"/>
      <c r="E383" s="6"/>
      <c r="F383" s="24"/>
      <c r="I383" s="6"/>
      <c r="M383" s="24"/>
    </row>
    <row r="384" spans="3:13" ht="12.75" customHeight="1" x14ac:dyDescent="0.25">
      <c r="C384" s="6"/>
      <c r="D384" s="24"/>
      <c r="E384" s="6"/>
      <c r="F384" s="24"/>
      <c r="I384" s="6"/>
      <c r="M384" s="24"/>
    </row>
    <row r="385" spans="3:13" ht="12.75" customHeight="1" x14ac:dyDescent="0.25">
      <c r="C385" s="6"/>
      <c r="D385" s="24"/>
      <c r="E385" s="6"/>
      <c r="F385" s="24"/>
      <c r="I385" s="6"/>
      <c r="M385" s="24"/>
    </row>
    <row r="386" spans="3:13" ht="12.75" customHeight="1" x14ac:dyDescent="0.25">
      <c r="C386" s="6"/>
      <c r="D386" s="24"/>
      <c r="E386" s="6"/>
      <c r="F386" s="24"/>
      <c r="I386" s="6"/>
      <c r="M386" s="24"/>
    </row>
    <row r="387" spans="3:13" ht="12.75" customHeight="1" x14ac:dyDescent="0.25">
      <c r="C387" s="6"/>
      <c r="D387" s="24"/>
      <c r="E387" s="6"/>
      <c r="F387" s="24"/>
      <c r="I387" s="6"/>
      <c r="M387" s="24"/>
    </row>
    <row r="388" spans="3:13" ht="12.75" customHeight="1" x14ac:dyDescent="0.25">
      <c r="C388" s="6"/>
      <c r="D388" s="24"/>
      <c r="E388" s="6"/>
      <c r="F388" s="24"/>
      <c r="I388" s="6"/>
      <c r="M388" s="24"/>
    </row>
    <row r="389" spans="3:13" ht="12.75" customHeight="1" x14ac:dyDescent="0.25">
      <c r="C389" s="6"/>
      <c r="D389" s="24"/>
      <c r="E389" s="6"/>
      <c r="F389" s="24"/>
      <c r="I389" s="6"/>
      <c r="M389" s="24"/>
    </row>
    <row r="390" spans="3:13" ht="12.75" customHeight="1" x14ac:dyDescent="0.25">
      <c r="C390" s="6"/>
      <c r="D390" s="24"/>
      <c r="E390" s="6"/>
      <c r="F390" s="24"/>
      <c r="I390" s="6"/>
      <c r="M390" s="24"/>
    </row>
    <row r="391" spans="3:13" ht="12.75" customHeight="1" x14ac:dyDescent="0.25">
      <c r="C391" s="6"/>
      <c r="D391" s="24"/>
      <c r="E391" s="6"/>
      <c r="F391" s="24"/>
      <c r="I391" s="6"/>
      <c r="M391" s="24"/>
    </row>
    <row r="392" spans="3:13" ht="12.75" customHeight="1" x14ac:dyDescent="0.25">
      <c r="C392" s="6"/>
      <c r="D392" s="24"/>
      <c r="E392" s="6"/>
      <c r="F392" s="24"/>
      <c r="I392" s="6"/>
      <c r="M392" s="24"/>
    </row>
    <row r="393" spans="3:13" ht="12.75" customHeight="1" x14ac:dyDescent="0.25">
      <c r="C393" s="6"/>
      <c r="D393" s="24"/>
      <c r="E393" s="6"/>
      <c r="F393" s="24"/>
      <c r="I393" s="6"/>
      <c r="M393" s="24"/>
    </row>
    <row r="394" spans="3:13" ht="12.75" customHeight="1" x14ac:dyDescent="0.25">
      <c r="C394" s="6"/>
      <c r="D394" s="24"/>
      <c r="E394" s="6"/>
      <c r="F394" s="24"/>
      <c r="I394" s="6"/>
      <c r="M394" s="24"/>
    </row>
    <row r="395" spans="3:13" ht="12.75" customHeight="1" x14ac:dyDescent="0.25">
      <c r="C395" s="6"/>
      <c r="D395" s="24"/>
      <c r="E395" s="6"/>
      <c r="F395" s="24"/>
      <c r="I395" s="6"/>
      <c r="M395" s="24"/>
    </row>
    <row r="396" spans="3:13" ht="12.75" customHeight="1" x14ac:dyDescent="0.25">
      <c r="C396" s="6"/>
      <c r="D396" s="24"/>
      <c r="E396" s="6"/>
      <c r="F396" s="24"/>
      <c r="I396" s="6"/>
      <c r="M396" s="24"/>
    </row>
    <row r="397" spans="3:13" ht="12.75" customHeight="1" x14ac:dyDescent="0.25">
      <c r="C397" s="6"/>
      <c r="D397" s="24"/>
      <c r="E397" s="6"/>
      <c r="F397" s="24"/>
      <c r="I397" s="6"/>
      <c r="M397" s="24"/>
    </row>
    <row r="398" spans="3:13" ht="12.75" customHeight="1" x14ac:dyDescent="0.25">
      <c r="C398" s="6"/>
      <c r="D398" s="24"/>
      <c r="E398" s="6"/>
      <c r="F398" s="24"/>
      <c r="I398" s="6"/>
      <c r="M398" s="24"/>
    </row>
    <row r="399" spans="3:13" ht="12.75" customHeight="1" x14ac:dyDescent="0.25">
      <c r="C399" s="6"/>
      <c r="D399" s="24"/>
      <c r="E399" s="6"/>
      <c r="F399" s="24"/>
      <c r="I399" s="6"/>
      <c r="M399" s="24"/>
    </row>
    <row r="400" spans="3:13" ht="12.75" customHeight="1" x14ac:dyDescent="0.25">
      <c r="C400" s="6"/>
      <c r="D400" s="24"/>
      <c r="E400" s="6"/>
      <c r="F400" s="24"/>
      <c r="I400" s="6"/>
      <c r="M400" s="24"/>
    </row>
    <row r="401" spans="3:13" ht="12.75" customHeight="1" x14ac:dyDescent="0.25">
      <c r="C401" s="6"/>
      <c r="D401" s="24"/>
      <c r="E401" s="6"/>
      <c r="F401" s="24"/>
      <c r="I401" s="6"/>
      <c r="M401" s="24"/>
    </row>
    <row r="402" spans="3:13" ht="12.75" customHeight="1" x14ac:dyDescent="0.25">
      <c r="C402" s="6"/>
      <c r="D402" s="24"/>
      <c r="E402" s="6"/>
      <c r="F402" s="24"/>
      <c r="I402" s="6"/>
      <c r="M402" s="24"/>
    </row>
    <row r="403" spans="3:13" ht="12.75" customHeight="1" x14ac:dyDescent="0.25">
      <c r="C403" s="6"/>
      <c r="D403" s="24"/>
      <c r="E403" s="6"/>
      <c r="F403" s="24"/>
      <c r="I403" s="6"/>
      <c r="M403" s="24"/>
    </row>
    <row r="404" spans="3:13" ht="12.75" customHeight="1" x14ac:dyDescent="0.25">
      <c r="C404" s="6"/>
      <c r="D404" s="24"/>
      <c r="E404" s="6"/>
      <c r="F404" s="24"/>
      <c r="I404" s="6"/>
      <c r="M404" s="24"/>
    </row>
    <row r="405" spans="3:13" ht="12.75" customHeight="1" x14ac:dyDescent="0.25">
      <c r="C405" s="6"/>
      <c r="D405" s="24"/>
      <c r="E405" s="6"/>
      <c r="F405" s="24"/>
      <c r="I405" s="6"/>
      <c r="M405" s="24"/>
    </row>
    <row r="406" spans="3:13" ht="12.75" customHeight="1" x14ac:dyDescent="0.25">
      <c r="C406" s="6"/>
      <c r="D406" s="24"/>
      <c r="E406" s="6"/>
      <c r="F406" s="24"/>
      <c r="I406" s="6"/>
      <c r="M406" s="24"/>
    </row>
    <row r="407" spans="3:13" ht="12.75" customHeight="1" x14ac:dyDescent="0.25">
      <c r="C407" s="6"/>
      <c r="D407" s="24"/>
      <c r="E407" s="6"/>
      <c r="F407" s="24"/>
      <c r="I407" s="6"/>
      <c r="M407" s="24"/>
    </row>
    <row r="408" spans="3:13" ht="12.75" customHeight="1" x14ac:dyDescent="0.25">
      <c r="C408" s="6"/>
      <c r="D408" s="24"/>
      <c r="E408" s="6"/>
      <c r="F408" s="24"/>
      <c r="I408" s="6"/>
      <c r="M408" s="24"/>
    </row>
    <row r="409" spans="3:13" ht="12.75" customHeight="1" x14ac:dyDescent="0.25">
      <c r="C409" s="6"/>
      <c r="D409" s="24"/>
      <c r="E409" s="6"/>
      <c r="F409" s="24"/>
      <c r="I409" s="6"/>
      <c r="M409" s="24"/>
    </row>
    <row r="410" spans="3:13" ht="12.75" customHeight="1" x14ac:dyDescent="0.25">
      <c r="C410" s="6"/>
      <c r="D410" s="24"/>
      <c r="E410" s="6"/>
      <c r="F410" s="24"/>
      <c r="I410" s="6"/>
      <c r="M410" s="24"/>
    </row>
    <row r="411" spans="3:13" ht="12.75" customHeight="1" x14ac:dyDescent="0.25">
      <c r="C411" s="6"/>
      <c r="D411" s="24"/>
      <c r="E411" s="6"/>
      <c r="F411" s="24"/>
      <c r="I411" s="6"/>
      <c r="M411" s="24"/>
    </row>
    <row r="412" spans="3:13" ht="12.75" customHeight="1" x14ac:dyDescent="0.25">
      <c r="C412" s="6"/>
      <c r="D412" s="24"/>
      <c r="E412" s="6"/>
      <c r="F412" s="24"/>
      <c r="I412" s="6"/>
      <c r="M412" s="24"/>
    </row>
    <row r="413" spans="3:13" ht="12.75" customHeight="1" x14ac:dyDescent="0.25">
      <c r="C413" s="6"/>
      <c r="D413" s="24"/>
      <c r="E413" s="6"/>
      <c r="F413" s="24"/>
      <c r="I413" s="6"/>
      <c r="M413" s="24"/>
    </row>
    <row r="414" spans="3:13" ht="12.75" customHeight="1" x14ac:dyDescent="0.25">
      <c r="C414" s="6"/>
      <c r="D414" s="24"/>
      <c r="E414" s="6"/>
      <c r="F414" s="24"/>
      <c r="I414" s="6"/>
      <c r="M414" s="24"/>
    </row>
    <row r="415" spans="3:13" ht="12.75" customHeight="1" x14ac:dyDescent="0.25">
      <c r="C415" s="6"/>
      <c r="D415" s="24"/>
      <c r="E415" s="6"/>
      <c r="F415" s="24"/>
      <c r="I415" s="6"/>
      <c r="M415" s="24"/>
    </row>
    <row r="416" spans="3:13" ht="12.75" customHeight="1" x14ac:dyDescent="0.25">
      <c r="C416" s="6"/>
      <c r="D416" s="24"/>
      <c r="E416" s="6"/>
      <c r="F416" s="24"/>
      <c r="I416" s="6"/>
      <c r="M416" s="24"/>
    </row>
    <row r="417" spans="3:13" ht="12.75" customHeight="1" x14ac:dyDescent="0.25">
      <c r="C417" s="6"/>
      <c r="D417" s="24"/>
      <c r="E417" s="6"/>
      <c r="F417" s="24"/>
      <c r="I417" s="6"/>
      <c r="M417" s="24"/>
    </row>
    <row r="418" spans="3:13" ht="12.75" customHeight="1" x14ac:dyDescent="0.25">
      <c r="C418" s="6"/>
      <c r="D418" s="24"/>
      <c r="E418" s="6"/>
      <c r="F418" s="24"/>
      <c r="I418" s="6"/>
      <c r="M418" s="24"/>
    </row>
    <row r="419" spans="3:13" ht="12.75" customHeight="1" x14ac:dyDescent="0.25">
      <c r="C419" s="6"/>
      <c r="D419" s="24"/>
      <c r="E419" s="6"/>
      <c r="F419" s="24"/>
      <c r="I419" s="6"/>
      <c r="M419" s="24"/>
    </row>
    <row r="420" spans="3:13" ht="12.75" customHeight="1" x14ac:dyDescent="0.25">
      <c r="C420" s="6"/>
      <c r="D420" s="24"/>
      <c r="E420" s="6"/>
      <c r="F420" s="24"/>
      <c r="I420" s="6"/>
      <c r="M420" s="24"/>
    </row>
    <row r="421" spans="3:13" ht="12.75" customHeight="1" x14ac:dyDescent="0.25">
      <c r="C421" s="6"/>
      <c r="D421" s="24"/>
      <c r="E421" s="6"/>
      <c r="F421" s="24"/>
      <c r="I421" s="6"/>
      <c r="M421" s="24"/>
    </row>
    <row r="422" spans="3:13" ht="12.75" customHeight="1" x14ac:dyDescent="0.25">
      <c r="C422" s="6"/>
      <c r="D422" s="24"/>
      <c r="E422" s="6"/>
      <c r="F422" s="24"/>
      <c r="I422" s="6"/>
      <c r="M422" s="24"/>
    </row>
    <row r="423" spans="3:13" ht="12.75" customHeight="1" x14ac:dyDescent="0.25">
      <c r="C423" s="6"/>
      <c r="D423" s="24"/>
      <c r="E423" s="6"/>
      <c r="F423" s="24"/>
      <c r="I423" s="6"/>
      <c r="M423" s="24"/>
    </row>
    <row r="424" spans="3:13" ht="12.75" customHeight="1" x14ac:dyDescent="0.25">
      <c r="C424" s="6"/>
      <c r="D424" s="24"/>
      <c r="E424" s="6"/>
      <c r="F424" s="24"/>
      <c r="I424" s="6"/>
      <c r="M424" s="24"/>
    </row>
    <row r="425" spans="3:13" ht="12.75" customHeight="1" x14ac:dyDescent="0.25">
      <c r="C425" s="6"/>
      <c r="D425" s="24"/>
      <c r="E425" s="6"/>
      <c r="F425" s="24"/>
      <c r="I425" s="6"/>
      <c r="M425" s="24"/>
    </row>
    <row r="426" spans="3:13" ht="12.75" customHeight="1" x14ac:dyDescent="0.25">
      <c r="C426" s="6"/>
      <c r="D426" s="24"/>
      <c r="E426" s="6"/>
      <c r="F426" s="24"/>
      <c r="I426" s="6"/>
      <c r="M426" s="24"/>
    </row>
    <row r="427" spans="3:13" ht="12.75" customHeight="1" x14ac:dyDescent="0.25">
      <c r="C427" s="6"/>
      <c r="D427" s="24"/>
      <c r="E427" s="6"/>
      <c r="F427" s="24"/>
      <c r="I427" s="6"/>
      <c r="M427" s="24"/>
    </row>
    <row r="428" spans="3:13" ht="12.75" customHeight="1" x14ac:dyDescent="0.25">
      <c r="C428" s="6"/>
      <c r="D428" s="24"/>
      <c r="E428" s="6"/>
      <c r="F428" s="24"/>
      <c r="I428" s="6"/>
      <c r="M428" s="24"/>
    </row>
    <row r="429" spans="3:13" ht="12.75" customHeight="1" x14ac:dyDescent="0.25">
      <c r="C429" s="6"/>
      <c r="D429" s="24"/>
      <c r="E429" s="6"/>
      <c r="F429" s="24"/>
      <c r="I429" s="6"/>
      <c r="M429" s="24"/>
    </row>
    <row r="430" spans="3:13" ht="12.75" customHeight="1" x14ac:dyDescent="0.25">
      <c r="C430" s="6"/>
      <c r="D430" s="24"/>
      <c r="E430" s="6"/>
      <c r="F430" s="24"/>
      <c r="I430" s="6"/>
      <c r="M430" s="24"/>
    </row>
    <row r="431" spans="3:13" ht="12.75" customHeight="1" x14ac:dyDescent="0.25">
      <c r="C431" s="6"/>
      <c r="D431" s="24"/>
      <c r="E431" s="6"/>
      <c r="F431" s="24"/>
      <c r="I431" s="6"/>
      <c r="M431" s="24"/>
    </row>
    <row r="432" spans="3:13" ht="12.75" customHeight="1" x14ac:dyDescent="0.25">
      <c r="C432" s="6"/>
      <c r="D432" s="24"/>
      <c r="E432" s="6"/>
      <c r="F432" s="24"/>
      <c r="I432" s="6"/>
      <c r="M432" s="24"/>
    </row>
    <row r="433" spans="3:13" ht="12.75" customHeight="1" x14ac:dyDescent="0.25">
      <c r="C433" s="6"/>
      <c r="D433" s="24"/>
      <c r="E433" s="6"/>
      <c r="F433" s="24"/>
      <c r="I433" s="6"/>
      <c r="M433" s="24"/>
    </row>
    <row r="434" spans="3:13" ht="12.75" customHeight="1" x14ac:dyDescent="0.25">
      <c r="C434" s="6"/>
      <c r="D434" s="24"/>
      <c r="E434" s="6"/>
      <c r="F434" s="24"/>
      <c r="I434" s="6"/>
      <c r="M434" s="24"/>
    </row>
    <row r="435" spans="3:13" ht="12.75" customHeight="1" x14ac:dyDescent="0.25">
      <c r="C435" s="6"/>
      <c r="D435" s="24"/>
      <c r="E435" s="6"/>
      <c r="F435" s="24"/>
      <c r="I435" s="6"/>
      <c r="M435" s="24"/>
    </row>
    <row r="436" spans="3:13" ht="12.75" customHeight="1" x14ac:dyDescent="0.25">
      <c r="C436" s="6"/>
      <c r="D436" s="24"/>
      <c r="E436" s="6"/>
      <c r="F436" s="24"/>
      <c r="I436" s="6"/>
      <c r="M436" s="24"/>
    </row>
    <row r="437" spans="3:13" ht="12.75" customHeight="1" x14ac:dyDescent="0.25">
      <c r="C437" s="6"/>
      <c r="D437" s="24"/>
      <c r="E437" s="6"/>
      <c r="F437" s="24"/>
      <c r="I437" s="6"/>
      <c r="M437" s="24"/>
    </row>
    <row r="438" spans="3:13" ht="12.75" customHeight="1" x14ac:dyDescent="0.25">
      <c r="C438" s="6"/>
      <c r="D438" s="24"/>
      <c r="E438" s="6"/>
      <c r="F438" s="24"/>
      <c r="I438" s="6"/>
      <c r="M438" s="24"/>
    </row>
    <row r="439" spans="3:13" ht="12.75" customHeight="1" x14ac:dyDescent="0.25">
      <c r="C439" s="6"/>
      <c r="D439" s="24"/>
      <c r="E439" s="6"/>
      <c r="F439" s="24"/>
      <c r="I439" s="6"/>
      <c r="M439" s="24"/>
    </row>
    <row r="440" spans="3:13" ht="12.75" customHeight="1" x14ac:dyDescent="0.25">
      <c r="C440" s="6"/>
      <c r="D440" s="24"/>
      <c r="E440" s="6"/>
      <c r="F440" s="24"/>
      <c r="I440" s="6"/>
      <c r="M440" s="24"/>
    </row>
    <row r="441" spans="3:13" ht="12.75" customHeight="1" x14ac:dyDescent="0.25">
      <c r="C441" s="6"/>
      <c r="D441" s="24"/>
      <c r="E441" s="6"/>
      <c r="F441" s="24"/>
      <c r="I441" s="6"/>
      <c r="M441" s="24"/>
    </row>
    <row r="442" spans="3:13" ht="12.75" customHeight="1" x14ac:dyDescent="0.25">
      <c r="C442" s="6"/>
      <c r="D442" s="24"/>
      <c r="E442" s="6"/>
      <c r="F442" s="24"/>
      <c r="I442" s="6"/>
      <c r="M442" s="24"/>
    </row>
    <row r="443" spans="3:13" ht="12.75" customHeight="1" x14ac:dyDescent="0.25">
      <c r="C443" s="6"/>
      <c r="D443" s="24"/>
      <c r="E443" s="6"/>
      <c r="F443" s="24"/>
      <c r="I443" s="6"/>
      <c r="M443" s="24"/>
    </row>
    <row r="444" spans="3:13" ht="12.75" customHeight="1" x14ac:dyDescent="0.25">
      <c r="C444" s="6"/>
      <c r="D444" s="24"/>
      <c r="E444" s="6"/>
      <c r="F444" s="24"/>
      <c r="I444" s="6"/>
      <c r="M444" s="24"/>
    </row>
    <row r="445" spans="3:13" ht="12.75" customHeight="1" x14ac:dyDescent="0.25">
      <c r="C445" s="6"/>
      <c r="D445" s="24"/>
      <c r="E445" s="6"/>
      <c r="F445" s="24"/>
      <c r="I445" s="6"/>
      <c r="M445" s="24"/>
    </row>
    <row r="446" spans="3:13" ht="12.75" customHeight="1" x14ac:dyDescent="0.25">
      <c r="C446" s="6"/>
      <c r="D446" s="24"/>
      <c r="E446" s="6"/>
      <c r="F446" s="24"/>
      <c r="I446" s="6"/>
      <c r="M446" s="24"/>
    </row>
    <row r="447" spans="3:13" ht="12.75" customHeight="1" x14ac:dyDescent="0.25">
      <c r="C447" s="6"/>
      <c r="D447" s="24"/>
      <c r="E447" s="6"/>
      <c r="F447" s="24"/>
      <c r="I447" s="6"/>
      <c r="M447" s="24"/>
    </row>
    <row r="448" spans="3:13" ht="12.75" customHeight="1" x14ac:dyDescent="0.25">
      <c r="C448" s="6"/>
      <c r="D448" s="24"/>
      <c r="E448" s="6"/>
      <c r="F448" s="24"/>
      <c r="I448" s="6"/>
      <c r="M448" s="24"/>
    </row>
    <row r="449" spans="3:13" ht="12.75" customHeight="1" x14ac:dyDescent="0.25">
      <c r="C449" s="6"/>
      <c r="D449" s="24"/>
      <c r="E449" s="6"/>
      <c r="F449" s="24"/>
      <c r="I449" s="6"/>
      <c r="M449" s="24"/>
    </row>
    <row r="450" spans="3:13" ht="12.75" customHeight="1" x14ac:dyDescent="0.25">
      <c r="C450" s="6"/>
      <c r="D450" s="24"/>
      <c r="E450" s="6"/>
      <c r="F450" s="24"/>
      <c r="I450" s="6"/>
      <c r="M450" s="24"/>
    </row>
    <row r="451" spans="3:13" ht="12.75" customHeight="1" x14ac:dyDescent="0.25">
      <c r="C451" s="6"/>
      <c r="D451" s="24"/>
      <c r="E451" s="6"/>
      <c r="F451" s="24"/>
      <c r="I451" s="6"/>
      <c r="M451" s="24"/>
    </row>
    <row r="452" spans="3:13" ht="12.75" customHeight="1" x14ac:dyDescent="0.25">
      <c r="C452" s="6"/>
      <c r="D452" s="24"/>
      <c r="E452" s="6"/>
      <c r="F452" s="24"/>
      <c r="I452" s="6"/>
      <c r="M452" s="24"/>
    </row>
    <row r="453" spans="3:13" ht="12.75" customHeight="1" x14ac:dyDescent="0.25">
      <c r="C453" s="6"/>
      <c r="D453" s="24"/>
      <c r="E453" s="6"/>
      <c r="F453" s="24"/>
      <c r="I453" s="6"/>
      <c r="M453" s="24"/>
    </row>
    <row r="454" spans="3:13" ht="12.75" customHeight="1" x14ac:dyDescent="0.25">
      <c r="C454" s="6"/>
      <c r="D454" s="24"/>
      <c r="E454" s="6"/>
      <c r="F454" s="24"/>
      <c r="I454" s="6"/>
      <c r="M454" s="24"/>
    </row>
    <row r="455" spans="3:13" ht="12.75" customHeight="1" x14ac:dyDescent="0.25">
      <c r="C455" s="6"/>
      <c r="D455" s="24"/>
      <c r="E455" s="6"/>
      <c r="F455" s="24"/>
      <c r="I455" s="6"/>
      <c r="M455" s="24"/>
    </row>
    <row r="456" spans="3:13" ht="12.75" customHeight="1" x14ac:dyDescent="0.25">
      <c r="C456" s="6"/>
      <c r="D456" s="24"/>
      <c r="E456" s="6"/>
      <c r="F456" s="24"/>
      <c r="I456" s="6"/>
      <c r="M456" s="24"/>
    </row>
    <row r="457" spans="3:13" ht="12.75" customHeight="1" x14ac:dyDescent="0.25">
      <c r="C457" s="6"/>
      <c r="D457" s="24"/>
      <c r="E457" s="6"/>
      <c r="F457" s="24"/>
      <c r="I457" s="6"/>
      <c r="M457" s="24"/>
    </row>
    <row r="458" spans="3:13" ht="12.75" customHeight="1" x14ac:dyDescent="0.25">
      <c r="C458" s="6"/>
      <c r="D458" s="24"/>
      <c r="E458" s="6"/>
      <c r="F458" s="24"/>
      <c r="I458" s="6"/>
      <c r="M458" s="24"/>
    </row>
    <row r="459" spans="3:13" ht="12.75" customHeight="1" x14ac:dyDescent="0.25">
      <c r="C459" s="6"/>
      <c r="D459" s="24"/>
      <c r="E459" s="6"/>
      <c r="F459" s="24"/>
      <c r="I459" s="6"/>
      <c r="M459" s="24"/>
    </row>
    <row r="460" spans="3:13" ht="12.75" customHeight="1" x14ac:dyDescent="0.25">
      <c r="C460" s="6"/>
      <c r="D460" s="24"/>
      <c r="E460" s="6"/>
      <c r="F460" s="24"/>
      <c r="I460" s="6"/>
      <c r="M460" s="24"/>
    </row>
    <row r="461" spans="3:13" ht="12.75" customHeight="1" x14ac:dyDescent="0.25">
      <c r="C461" s="6"/>
      <c r="D461" s="24"/>
      <c r="E461" s="6"/>
      <c r="F461" s="24"/>
      <c r="I461" s="6"/>
      <c r="M461" s="24"/>
    </row>
    <row r="462" spans="3:13" ht="12.75" customHeight="1" x14ac:dyDescent="0.25">
      <c r="C462" s="6"/>
      <c r="D462" s="24"/>
      <c r="E462" s="6"/>
      <c r="F462" s="24"/>
      <c r="I462" s="6"/>
      <c r="M462" s="24"/>
    </row>
    <row r="463" spans="3:13" ht="12.75" customHeight="1" x14ac:dyDescent="0.25">
      <c r="C463" s="6"/>
      <c r="D463" s="24"/>
      <c r="E463" s="6"/>
      <c r="F463" s="24"/>
      <c r="I463" s="6"/>
      <c r="M463" s="24"/>
    </row>
    <row r="464" spans="3:13" ht="12.75" customHeight="1" x14ac:dyDescent="0.25">
      <c r="C464" s="6"/>
      <c r="D464" s="24"/>
      <c r="E464" s="6"/>
      <c r="F464" s="24"/>
      <c r="I464" s="6"/>
      <c r="M464" s="24"/>
    </row>
    <row r="465" spans="3:13" ht="12.75" customHeight="1" x14ac:dyDescent="0.25">
      <c r="C465" s="6"/>
      <c r="D465" s="24"/>
      <c r="E465" s="6"/>
      <c r="F465" s="24"/>
      <c r="I465" s="6"/>
      <c r="M465" s="24"/>
    </row>
    <row r="466" spans="3:13" ht="12.75" customHeight="1" x14ac:dyDescent="0.25">
      <c r="C466" s="6"/>
      <c r="D466" s="24"/>
      <c r="E466" s="6"/>
      <c r="F466" s="24"/>
      <c r="I466" s="6"/>
      <c r="M466" s="24"/>
    </row>
    <row r="467" spans="3:13" ht="12.75" customHeight="1" x14ac:dyDescent="0.25">
      <c r="C467" s="6"/>
      <c r="D467" s="24"/>
      <c r="E467" s="6"/>
      <c r="F467" s="24"/>
      <c r="I467" s="6"/>
      <c r="M467" s="24"/>
    </row>
    <row r="468" spans="3:13" ht="12.75" customHeight="1" x14ac:dyDescent="0.25">
      <c r="C468" s="6"/>
      <c r="D468" s="24"/>
      <c r="E468" s="6"/>
      <c r="F468" s="24"/>
      <c r="I468" s="6"/>
      <c r="M468" s="24"/>
    </row>
    <row r="469" spans="3:13" ht="12.75" customHeight="1" x14ac:dyDescent="0.25">
      <c r="C469" s="6"/>
      <c r="D469" s="24"/>
      <c r="E469" s="6"/>
      <c r="F469" s="24"/>
      <c r="I469" s="6"/>
      <c r="M469" s="24"/>
    </row>
    <row r="470" spans="3:13" ht="12.75" customHeight="1" x14ac:dyDescent="0.25">
      <c r="C470" s="6"/>
      <c r="D470" s="24"/>
      <c r="E470" s="6"/>
      <c r="F470" s="24"/>
      <c r="I470" s="6"/>
      <c r="M470" s="24"/>
    </row>
    <row r="471" spans="3:13" ht="12.75" customHeight="1" x14ac:dyDescent="0.25">
      <c r="C471" s="6"/>
      <c r="D471" s="24"/>
      <c r="E471" s="6"/>
      <c r="F471" s="24"/>
      <c r="I471" s="6"/>
      <c r="M471" s="24"/>
    </row>
    <row r="472" spans="3:13" ht="12.75" customHeight="1" x14ac:dyDescent="0.25">
      <c r="C472" s="6"/>
      <c r="D472" s="24"/>
      <c r="E472" s="6"/>
      <c r="F472" s="24"/>
      <c r="I472" s="6"/>
      <c r="M472" s="24"/>
    </row>
    <row r="473" spans="3:13" ht="12.75" customHeight="1" x14ac:dyDescent="0.25">
      <c r="C473" s="6"/>
      <c r="D473" s="24"/>
      <c r="E473" s="6"/>
      <c r="F473" s="24"/>
      <c r="I473" s="6"/>
      <c r="M473" s="24"/>
    </row>
    <row r="474" spans="3:13" ht="12.75" customHeight="1" x14ac:dyDescent="0.25">
      <c r="C474" s="6"/>
      <c r="D474" s="24"/>
      <c r="E474" s="6"/>
      <c r="F474" s="24"/>
      <c r="I474" s="6"/>
      <c r="M474" s="24"/>
    </row>
    <row r="475" spans="3:13" ht="12.75" customHeight="1" x14ac:dyDescent="0.25">
      <c r="C475" s="6"/>
      <c r="D475" s="24"/>
      <c r="E475" s="6"/>
      <c r="F475" s="24"/>
      <c r="I475" s="6"/>
      <c r="M475" s="24"/>
    </row>
    <row r="476" spans="3:13" ht="12.75" customHeight="1" x14ac:dyDescent="0.25">
      <c r="C476" s="6"/>
      <c r="D476" s="24"/>
      <c r="E476" s="6"/>
      <c r="F476" s="24"/>
      <c r="I476" s="6"/>
      <c r="M476" s="24"/>
    </row>
    <row r="477" spans="3:13" ht="12.75" customHeight="1" x14ac:dyDescent="0.25">
      <c r="C477" s="6"/>
      <c r="D477" s="24"/>
      <c r="E477" s="6"/>
      <c r="F477" s="24"/>
      <c r="I477" s="6"/>
      <c r="M477" s="24"/>
    </row>
    <row r="478" spans="3:13" ht="12.75" customHeight="1" x14ac:dyDescent="0.25">
      <c r="C478" s="6"/>
      <c r="D478" s="24"/>
      <c r="E478" s="6"/>
      <c r="F478" s="24"/>
      <c r="I478" s="6"/>
      <c r="M478" s="24"/>
    </row>
    <row r="479" spans="3:13" ht="12.75" customHeight="1" x14ac:dyDescent="0.25">
      <c r="C479" s="6"/>
      <c r="D479" s="24"/>
      <c r="E479" s="6"/>
      <c r="F479" s="24"/>
      <c r="I479" s="6"/>
      <c r="M479" s="24"/>
    </row>
    <row r="480" spans="3:13" ht="12.75" customHeight="1" x14ac:dyDescent="0.25">
      <c r="C480" s="6"/>
      <c r="D480" s="24"/>
      <c r="E480" s="6"/>
      <c r="F480" s="24"/>
      <c r="I480" s="6"/>
      <c r="M480" s="24"/>
    </row>
    <row r="481" spans="3:13" ht="12.75" customHeight="1" x14ac:dyDescent="0.25">
      <c r="C481" s="6"/>
      <c r="D481" s="24"/>
      <c r="E481" s="6"/>
      <c r="F481" s="24"/>
      <c r="I481" s="6"/>
      <c r="M481" s="24"/>
    </row>
    <row r="482" spans="3:13" ht="12.75" customHeight="1" x14ac:dyDescent="0.25">
      <c r="C482" s="6"/>
      <c r="D482" s="24"/>
      <c r="E482" s="6"/>
      <c r="F482" s="24"/>
      <c r="I482" s="6"/>
      <c r="M482" s="24"/>
    </row>
    <row r="483" spans="3:13" ht="12.75" customHeight="1" x14ac:dyDescent="0.25">
      <c r="C483" s="6"/>
      <c r="D483" s="24"/>
      <c r="E483" s="6"/>
      <c r="F483" s="24"/>
      <c r="I483" s="6"/>
      <c r="M483" s="24"/>
    </row>
    <row r="484" spans="3:13" ht="12.75" customHeight="1" x14ac:dyDescent="0.25">
      <c r="C484" s="6"/>
      <c r="D484" s="24"/>
      <c r="E484" s="6"/>
      <c r="F484" s="24"/>
      <c r="I484" s="6"/>
      <c r="M484" s="24"/>
    </row>
    <row r="485" spans="3:13" ht="12.75" customHeight="1" x14ac:dyDescent="0.25">
      <c r="C485" s="6"/>
      <c r="D485" s="24"/>
      <c r="E485" s="6"/>
      <c r="F485" s="24"/>
      <c r="I485" s="6"/>
      <c r="M485" s="24"/>
    </row>
    <row r="486" spans="3:13" ht="12.75" customHeight="1" x14ac:dyDescent="0.25">
      <c r="C486" s="6"/>
      <c r="D486" s="24"/>
      <c r="E486" s="6"/>
      <c r="F486" s="24"/>
      <c r="I486" s="6"/>
      <c r="M486" s="24"/>
    </row>
    <row r="487" spans="3:13" ht="12.75" customHeight="1" x14ac:dyDescent="0.25">
      <c r="C487" s="6"/>
      <c r="D487" s="24"/>
      <c r="E487" s="6"/>
      <c r="F487" s="24"/>
      <c r="I487" s="6"/>
      <c r="M487" s="24"/>
    </row>
    <row r="488" spans="3:13" ht="12.75" customHeight="1" x14ac:dyDescent="0.25">
      <c r="C488" s="6"/>
      <c r="D488" s="24"/>
      <c r="E488" s="6"/>
      <c r="F488" s="24"/>
      <c r="I488" s="6"/>
      <c r="M488" s="24"/>
    </row>
    <row r="489" spans="3:13" ht="12.75" customHeight="1" x14ac:dyDescent="0.25">
      <c r="C489" s="6"/>
      <c r="D489" s="24"/>
      <c r="E489" s="6"/>
      <c r="F489" s="24"/>
      <c r="I489" s="6"/>
      <c r="M489" s="24"/>
    </row>
    <row r="490" spans="3:13" ht="12.75" customHeight="1" x14ac:dyDescent="0.25">
      <c r="C490" s="6"/>
      <c r="D490" s="24"/>
      <c r="E490" s="6"/>
      <c r="F490" s="24"/>
      <c r="I490" s="6"/>
      <c r="M490" s="24"/>
    </row>
    <row r="491" spans="3:13" ht="12.75" customHeight="1" x14ac:dyDescent="0.25">
      <c r="C491" s="6"/>
      <c r="D491" s="24"/>
      <c r="E491" s="6"/>
      <c r="F491" s="24"/>
      <c r="I491" s="6"/>
      <c r="M491" s="24"/>
    </row>
    <row r="492" spans="3:13" ht="12.75" customHeight="1" x14ac:dyDescent="0.25">
      <c r="C492" s="6"/>
      <c r="D492" s="24"/>
      <c r="E492" s="6"/>
      <c r="F492" s="24"/>
      <c r="I492" s="6"/>
      <c r="M492" s="24"/>
    </row>
    <row r="493" spans="3:13" ht="12.75" customHeight="1" x14ac:dyDescent="0.25">
      <c r="C493" s="6"/>
      <c r="D493" s="24"/>
      <c r="E493" s="6"/>
      <c r="F493" s="24"/>
      <c r="I493" s="6"/>
      <c r="M493" s="24"/>
    </row>
    <row r="494" spans="3:13" ht="12.75" customHeight="1" x14ac:dyDescent="0.25">
      <c r="C494" s="6"/>
      <c r="D494" s="24"/>
      <c r="E494" s="6"/>
      <c r="F494" s="24"/>
      <c r="I494" s="6"/>
      <c r="M494" s="24"/>
    </row>
    <row r="495" spans="3:13" ht="12.75" customHeight="1" x14ac:dyDescent="0.25">
      <c r="C495" s="6"/>
      <c r="D495" s="24"/>
      <c r="E495" s="6"/>
      <c r="F495" s="24"/>
      <c r="I495" s="6"/>
      <c r="M495" s="24"/>
    </row>
    <row r="496" spans="3:13" ht="12.75" customHeight="1" x14ac:dyDescent="0.25">
      <c r="C496" s="6"/>
      <c r="D496" s="24"/>
      <c r="E496" s="6"/>
      <c r="F496" s="24"/>
      <c r="I496" s="6"/>
      <c r="M496" s="24"/>
    </row>
    <row r="497" spans="3:13" ht="12.75" customHeight="1" x14ac:dyDescent="0.25">
      <c r="C497" s="6"/>
      <c r="D497" s="24"/>
      <c r="E497" s="6"/>
      <c r="F497" s="24"/>
      <c r="I497" s="6"/>
      <c r="M497" s="24"/>
    </row>
    <row r="498" spans="3:13" ht="12.75" customHeight="1" x14ac:dyDescent="0.25">
      <c r="C498" s="6"/>
      <c r="D498" s="24"/>
      <c r="E498" s="6"/>
      <c r="F498" s="24"/>
      <c r="I498" s="6"/>
      <c r="M498" s="24"/>
    </row>
    <row r="499" spans="3:13" ht="12.75" customHeight="1" x14ac:dyDescent="0.25">
      <c r="C499" s="6"/>
      <c r="D499" s="24"/>
      <c r="E499" s="6"/>
      <c r="F499" s="24"/>
      <c r="I499" s="6"/>
      <c r="M499" s="24"/>
    </row>
    <row r="500" spans="3:13" ht="12.75" customHeight="1" x14ac:dyDescent="0.25">
      <c r="C500" s="6"/>
      <c r="D500" s="24"/>
      <c r="E500" s="6"/>
      <c r="F500" s="24"/>
      <c r="I500" s="6"/>
      <c r="M500" s="24"/>
    </row>
    <row r="501" spans="3:13" ht="12.75" customHeight="1" x14ac:dyDescent="0.25">
      <c r="C501" s="6"/>
      <c r="D501" s="24"/>
      <c r="E501" s="6"/>
      <c r="F501" s="24"/>
      <c r="I501" s="6"/>
      <c r="M501" s="24"/>
    </row>
    <row r="502" spans="3:13" ht="12.75" customHeight="1" x14ac:dyDescent="0.25">
      <c r="C502" s="6"/>
      <c r="D502" s="24"/>
      <c r="E502" s="6"/>
      <c r="F502" s="24"/>
      <c r="I502" s="6"/>
      <c r="M502" s="24"/>
    </row>
    <row r="503" spans="3:13" ht="12.75" customHeight="1" x14ac:dyDescent="0.25">
      <c r="C503" s="6"/>
      <c r="D503" s="24"/>
      <c r="E503" s="6"/>
      <c r="F503" s="24"/>
      <c r="I503" s="6"/>
      <c r="M503" s="24"/>
    </row>
    <row r="504" spans="3:13" ht="12.75" customHeight="1" x14ac:dyDescent="0.25">
      <c r="C504" s="6"/>
      <c r="D504" s="24"/>
      <c r="E504" s="6"/>
      <c r="F504" s="24"/>
      <c r="I504" s="6"/>
      <c r="M504" s="24"/>
    </row>
    <row r="505" spans="3:13" ht="12.75" customHeight="1" x14ac:dyDescent="0.25">
      <c r="C505" s="6"/>
      <c r="D505" s="24"/>
      <c r="E505" s="6"/>
      <c r="F505" s="24"/>
      <c r="I505" s="6"/>
      <c r="M505" s="24"/>
    </row>
    <row r="506" spans="3:13" ht="12.75" customHeight="1" x14ac:dyDescent="0.25">
      <c r="C506" s="6"/>
      <c r="D506" s="24"/>
      <c r="E506" s="6"/>
      <c r="F506" s="24"/>
      <c r="I506" s="6"/>
      <c r="M506" s="24"/>
    </row>
    <row r="507" spans="3:13" ht="12.75" customHeight="1" x14ac:dyDescent="0.25">
      <c r="C507" s="6"/>
      <c r="D507" s="24"/>
      <c r="E507" s="6"/>
      <c r="F507" s="24"/>
      <c r="I507" s="6"/>
      <c r="M507" s="24"/>
    </row>
    <row r="508" spans="3:13" ht="12.75" customHeight="1" x14ac:dyDescent="0.25">
      <c r="C508" s="6"/>
      <c r="D508" s="24"/>
      <c r="E508" s="6"/>
      <c r="F508" s="24"/>
      <c r="I508" s="6"/>
      <c r="M508" s="24"/>
    </row>
    <row r="509" spans="3:13" ht="12.75" customHeight="1" x14ac:dyDescent="0.25">
      <c r="C509" s="6"/>
      <c r="D509" s="24"/>
      <c r="E509" s="6"/>
      <c r="F509" s="24"/>
      <c r="I509" s="6"/>
      <c r="M509" s="24"/>
    </row>
    <row r="510" spans="3:13" ht="12.75" customHeight="1" x14ac:dyDescent="0.25">
      <c r="C510" s="6"/>
      <c r="D510" s="24"/>
      <c r="E510" s="6"/>
      <c r="F510" s="24"/>
      <c r="I510" s="6"/>
      <c r="M510" s="24"/>
    </row>
    <row r="511" spans="3:13" ht="12.75" customHeight="1" x14ac:dyDescent="0.25">
      <c r="C511" s="6"/>
      <c r="D511" s="24"/>
      <c r="E511" s="6"/>
      <c r="F511" s="24"/>
      <c r="I511" s="6"/>
      <c r="M511" s="24"/>
    </row>
    <row r="512" spans="3:13" ht="12.75" customHeight="1" x14ac:dyDescent="0.25">
      <c r="C512" s="6"/>
      <c r="D512" s="24"/>
      <c r="E512" s="6"/>
      <c r="F512" s="24"/>
      <c r="I512" s="6"/>
      <c r="M512" s="24"/>
    </row>
    <row r="513" spans="3:13" ht="12.75" customHeight="1" x14ac:dyDescent="0.25">
      <c r="C513" s="6"/>
      <c r="D513" s="24"/>
      <c r="E513" s="6"/>
      <c r="F513" s="24"/>
      <c r="I513" s="6"/>
      <c r="M513" s="24"/>
    </row>
    <row r="514" spans="3:13" ht="12.75" customHeight="1" x14ac:dyDescent="0.25">
      <c r="C514" s="6"/>
      <c r="D514" s="24"/>
      <c r="E514" s="6"/>
      <c r="F514" s="24"/>
      <c r="I514" s="6"/>
      <c r="M514" s="24"/>
    </row>
    <row r="515" spans="3:13" ht="12.75" customHeight="1" x14ac:dyDescent="0.25">
      <c r="C515" s="6"/>
      <c r="D515" s="24"/>
      <c r="E515" s="6"/>
      <c r="F515" s="24"/>
      <c r="I515" s="6"/>
      <c r="M515" s="24"/>
    </row>
    <row r="516" spans="3:13" ht="12.75" customHeight="1" x14ac:dyDescent="0.25">
      <c r="C516" s="6"/>
      <c r="D516" s="24"/>
      <c r="E516" s="6"/>
      <c r="F516" s="24"/>
      <c r="I516" s="6"/>
      <c r="M516" s="24"/>
    </row>
    <row r="517" spans="3:13" ht="12.75" customHeight="1" x14ac:dyDescent="0.25">
      <c r="C517" s="6"/>
      <c r="D517" s="24"/>
      <c r="E517" s="6"/>
      <c r="F517" s="24"/>
      <c r="I517" s="6"/>
      <c r="M517" s="24"/>
    </row>
    <row r="518" spans="3:13" ht="12.75" customHeight="1" x14ac:dyDescent="0.25">
      <c r="C518" s="6"/>
      <c r="D518" s="24"/>
      <c r="E518" s="6"/>
      <c r="F518" s="24"/>
      <c r="I518" s="6"/>
      <c r="M518" s="24"/>
    </row>
    <row r="519" spans="3:13" ht="12.75" customHeight="1" x14ac:dyDescent="0.25">
      <c r="C519" s="6"/>
      <c r="D519" s="24"/>
      <c r="E519" s="6"/>
      <c r="F519" s="24"/>
      <c r="I519" s="6"/>
      <c r="M519" s="24"/>
    </row>
    <row r="520" spans="3:13" ht="12.75" customHeight="1" x14ac:dyDescent="0.25">
      <c r="C520" s="6"/>
      <c r="D520" s="24"/>
      <c r="E520" s="6"/>
      <c r="F520" s="24"/>
      <c r="I520" s="6"/>
      <c r="M520" s="24"/>
    </row>
    <row r="521" spans="3:13" ht="12.75" customHeight="1" x14ac:dyDescent="0.25">
      <c r="C521" s="6"/>
      <c r="D521" s="24"/>
      <c r="E521" s="6"/>
      <c r="F521" s="24"/>
      <c r="I521" s="6"/>
      <c r="M521" s="24"/>
    </row>
    <row r="522" spans="3:13" ht="12.75" customHeight="1" x14ac:dyDescent="0.25">
      <c r="C522" s="6"/>
      <c r="D522" s="24"/>
      <c r="E522" s="6"/>
      <c r="F522" s="24"/>
      <c r="I522" s="6"/>
      <c r="M522" s="24"/>
    </row>
    <row r="523" spans="3:13" ht="12.75" customHeight="1" x14ac:dyDescent="0.25">
      <c r="C523" s="6"/>
      <c r="D523" s="24"/>
      <c r="E523" s="6"/>
      <c r="F523" s="24"/>
      <c r="I523" s="6"/>
      <c r="M523" s="24"/>
    </row>
    <row r="524" spans="3:13" ht="12.75" customHeight="1" x14ac:dyDescent="0.25">
      <c r="C524" s="6"/>
      <c r="D524" s="24"/>
      <c r="E524" s="6"/>
      <c r="F524" s="24"/>
      <c r="I524" s="6"/>
      <c r="M524" s="24"/>
    </row>
    <row r="525" spans="3:13" ht="12.75" customHeight="1" x14ac:dyDescent="0.25">
      <c r="C525" s="6"/>
      <c r="D525" s="24"/>
      <c r="E525" s="6"/>
      <c r="F525" s="24"/>
      <c r="I525" s="6"/>
      <c r="M525" s="24"/>
    </row>
    <row r="526" spans="3:13" ht="12.75" customHeight="1" x14ac:dyDescent="0.25">
      <c r="C526" s="6"/>
      <c r="D526" s="24"/>
      <c r="E526" s="6"/>
      <c r="F526" s="24"/>
      <c r="I526" s="6"/>
      <c r="M526" s="24"/>
    </row>
    <row r="527" spans="3:13" ht="12.75" customHeight="1" x14ac:dyDescent="0.25">
      <c r="C527" s="6"/>
      <c r="D527" s="24"/>
      <c r="E527" s="6"/>
      <c r="F527" s="24"/>
      <c r="I527" s="6"/>
      <c r="M527" s="24"/>
    </row>
    <row r="528" spans="3:13" ht="12.75" customHeight="1" x14ac:dyDescent="0.25">
      <c r="C528" s="6"/>
      <c r="D528" s="24"/>
      <c r="E528" s="6"/>
      <c r="F528" s="24"/>
      <c r="I528" s="6"/>
      <c r="M528" s="24"/>
    </row>
    <row r="529" spans="3:13" ht="12.75" customHeight="1" x14ac:dyDescent="0.25">
      <c r="C529" s="6"/>
      <c r="D529" s="24"/>
      <c r="E529" s="6"/>
      <c r="F529" s="24"/>
      <c r="I529" s="6"/>
      <c r="M529" s="24"/>
    </row>
    <row r="530" spans="3:13" ht="12.75" customHeight="1" x14ac:dyDescent="0.25">
      <c r="C530" s="6"/>
      <c r="D530" s="24"/>
      <c r="E530" s="6"/>
      <c r="F530" s="24"/>
      <c r="I530" s="6"/>
      <c r="M530" s="24"/>
    </row>
    <row r="531" spans="3:13" ht="12.75" customHeight="1" x14ac:dyDescent="0.25">
      <c r="C531" s="6"/>
      <c r="D531" s="24"/>
      <c r="E531" s="6"/>
      <c r="F531" s="24"/>
      <c r="I531" s="6"/>
      <c r="M531" s="24"/>
    </row>
    <row r="532" spans="3:13" ht="12.75" customHeight="1" x14ac:dyDescent="0.25">
      <c r="C532" s="6"/>
      <c r="D532" s="24"/>
      <c r="E532" s="6"/>
      <c r="F532" s="24"/>
      <c r="I532" s="6"/>
      <c r="M532" s="24"/>
    </row>
    <row r="533" spans="3:13" ht="12.75" customHeight="1" x14ac:dyDescent="0.25">
      <c r="C533" s="6"/>
      <c r="D533" s="24"/>
      <c r="E533" s="6"/>
      <c r="F533" s="24"/>
      <c r="I533" s="6"/>
      <c r="M533" s="24"/>
    </row>
    <row r="534" spans="3:13" ht="12.75" customHeight="1" x14ac:dyDescent="0.25">
      <c r="C534" s="6"/>
      <c r="D534" s="24"/>
      <c r="E534" s="6"/>
      <c r="F534" s="24"/>
      <c r="I534" s="6"/>
      <c r="M534" s="24"/>
    </row>
    <row r="535" spans="3:13" ht="12.75" customHeight="1" x14ac:dyDescent="0.25">
      <c r="C535" s="6"/>
      <c r="D535" s="24"/>
      <c r="E535" s="6"/>
      <c r="F535" s="24"/>
      <c r="I535" s="6"/>
      <c r="M535" s="24"/>
    </row>
    <row r="536" spans="3:13" ht="12.75" customHeight="1" x14ac:dyDescent="0.25">
      <c r="C536" s="6"/>
      <c r="D536" s="24"/>
      <c r="E536" s="6"/>
      <c r="F536" s="24"/>
      <c r="I536" s="6"/>
      <c r="M536" s="24"/>
    </row>
    <row r="537" spans="3:13" ht="12.75" customHeight="1" x14ac:dyDescent="0.25">
      <c r="C537" s="6"/>
      <c r="D537" s="24"/>
      <c r="E537" s="6"/>
      <c r="F537" s="24"/>
      <c r="I537" s="6"/>
      <c r="M537" s="24"/>
    </row>
    <row r="538" spans="3:13" ht="12.75" customHeight="1" x14ac:dyDescent="0.25">
      <c r="C538" s="6"/>
      <c r="D538" s="24"/>
      <c r="E538" s="6"/>
      <c r="F538" s="24"/>
      <c r="I538" s="6"/>
      <c r="M538" s="24"/>
    </row>
    <row r="539" spans="3:13" ht="12.75" customHeight="1" x14ac:dyDescent="0.25">
      <c r="C539" s="6"/>
      <c r="D539" s="24"/>
      <c r="E539" s="6"/>
      <c r="F539" s="24"/>
      <c r="I539" s="6"/>
      <c r="M539" s="24"/>
    </row>
    <row r="540" spans="3:13" ht="12.75" customHeight="1" x14ac:dyDescent="0.25">
      <c r="C540" s="6"/>
      <c r="D540" s="24"/>
      <c r="E540" s="6"/>
      <c r="F540" s="24"/>
      <c r="I540" s="6"/>
      <c r="M540" s="24"/>
    </row>
    <row r="541" spans="3:13" ht="12.75" customHeight="1" x14ac:dyDescent="0.25">
      <c r="C541" s="6"/>
      <c r="D541" s="24"/>
      <c r="E541" s="6"/>
      <c r="F541" s="24"/>
      <c r="I541" s="6"/>
      <c r="M541" s="24"/>
    </row>
    <row r="542" spans="3:13" ht="12.75" customHeight="1" x14ac:dyDescent="0.25">
      <c r="C542" s="6"/>
      <c r="D542" s="24"/>
      <c r="E542" s="6"/>
      <c r="F542" s="24"/>
      <c r="I542" s="6"/>
      <c r="M542" s="24"/>
    </row>
    <row r="543" spans="3:13" ht="12.75" customHeight="1" x14ac:dyDescent="0.25">
      <c r="C543" s="6"/>
      <c r="D543" s="24"/>
      <c r="E543" s="6"/>
      <c r="F543" s="24"/>
      <c r="I543" s="6"/>
      <c r="M543" s="24"/>
    </row>
    <row r="544" spans="3:13" ht="12.75" customHeight="1" x14ac:dyDescent="0.25">
      <c r="C544" s="6"/>
      <c r="D544" s="24"/>
      <c r="E544" s="6"/>
      <c r="F544" s="24"/>
      <c r="I544" s="6"/>
      <c r="M544" s="24"/>
    </row>
    <row r="545" spans="3:13" ht="12.75" customHeight="1" x14ac:dyDescent="0.25">
      <c r="C545" s="6"/>
      <c r="D545" s="24"/>
      <c r="E545" s="6"/>
      <c r="F545" s="24"/>
      <c r="I545" s="6"/>
      <c r="M545" s="24"/>
    </row>
    <row r="546" spans="3:13" ht="12.75" customHeight="1" x14ac:dyDescent="0.25">
      <c r="C546" s="6"/>
      <c r="D546" s="24"/>
      <c r="E546" s="6"/>
      <c r="F546" s="24"/>
      <c r="I546" s="6"/>
      <c r="M546" s="24"/>
    </row>
    <row r="547" spans="3:13" ht="12.75" customHeight="1" x14ac:dyDescent="0.25">
      <c r="C547" s="6"/>
      <c r="D547" s="24"/>
      <c r="E547" s="6"/>
      <c r="F547" s="24"/>
      <c r="I547" s="6"/>
      <c r="M547" s="24"/>
    </row>
    <row r="548" spans="3:13" ht="12.75" customHeight="1" x14ac:dyDescent="0.25">
      <c r="C548" s="6"/>
      <c r="D548" s="24"/>
      <c r="E548" s="6"/>
      <c r="F548" s="24"/>
      <c r="I548" s="6"/>
      <c r="M548" s="24"/>
    </row>
    <row r="549" spans="3:13" ht="12.75" customHeight="1" x14ac:dyDescent="0.25">
      <c r="C549" s="6"/>
      <c r="D549" s="24"/>
      <c r="E549" s="6"/>
      <c r="F549" s="24"/>
      <c r="I549" s="6"/>
      <c r="M549" s="24"/>
    </row>
    <row r="550" spans="3:13" ht="12.75" customHeight="1" x14ac:dyDescent="0.25">
      <c r="C550" s="6"/>
      <c r="D550" s="24"/>
      <c r="E550" s="6"/>
      <c r="F550" s="24"/>
      <c r="I550" s="6"/>
      <c r="M550" s="24"/>
    </row>
    <row r="551" spans="3:13" ht="12.75" customHeight="1" x14ac:dyDescent="0.25">
      <c r="C551" s="6"/>
      <c r="D551" s="24"/>
      <c r="E551" s="6"/>
      <c r="F551" s="24"/>
      <c r="I551" s="6"/>
      <c r="M551" s="24"/>
    </row>
    <row r="552" spans="3:13" ht="12.75" customHeight="1" x14ac:dyDescent="0.25">
      <c r="C552" s="6"/>
      <c r="D552" s="24"/>
      <c r="E552" s="6"/>
      <c r="F552" s="24"/>
      <c r="I552" s="6"/>
      <c r="M552" s="24"/>
    </row>
    <row r="553" spans="3:13" ht="12.75" customHeight="1" x14ac:dyDescent="0.25">
      <c r="C553" s="6"/>
      <c r="D553" s="24"/>
      <c r="E553" s="6"/>
      <c r="F553" s="24"/>
      <c r="I553" s="6"/>
      <c r="M553" s="24"/>
    </row>
    <row r="554" spans="3:13" ht="12.75" customHeight="1" x14ac:dyDescent="0.25">
      <c r="C554" s="6"/>
      <c r="D554" s="24"/>
      <c r="E554" s="6"/>
      <c r="F554" s="24"/>
      <c r="I554" s="6"/>
      <c r="M554" s="24"/>
    </row>
    <row r="555" spans="3:13" ht="12.75" customHeight="1" x14ac:dyDescent="0.25">
      <c r="C555" s="6"/>
      <c r="D555" s="24"/>
      <c r="E555" s="6"/>
      <c r="F555" s="24"/>
      <c r="I555" s="6"/>
      <c r="M555" s="24"/>
    </row>
    <row r="556" spans="3:13" ht="12.75" customHeight="1" x14ac:dyDescent="0.25">
      <c r="C556" s="6"/>
      <c r="D556" s="24"/>
      <c r="E556" s="6"/>
      <c r="F556" s="24"/>
      <c r="I556" s="6"/>
      <c r="M556" s="24"/>
    </row>
    <row r="557" spans="3:13" ht="12.75" customHeight="1" x14ac:dyDescent="0.25">
      <c r="C557" s="6"/>
      <c r="D557" s="24"/>
      <c r="E557" s="6"/>
      <c r="F557" s="24"/>
      <c r="I557" s="6"/>
      <c r="M557" s="24"/>
    </row>
    <row r="558" spans="3:13" ht="12.75" customHeight="1" x14ac:dyDescent="0.25">
      <c r="C558" s="6"/>
      <c r="D558" s="24"/>
      <c r="E558" s="6"/>
      <c r="F558" s="24"/>
      <c r="I558" s="6"/>
      <c r="M558" s="24"/>
    </row>
    <row r="559" spans="3:13" ht="12.75" customHeight="1" x14ac:dyDescent="0.25">
      <c r="C559" s="6"/>
      <c r="D559" s="24"/>
      <c r="E559" s="6"/>
      <c r="F559" s="24"/>
      <c r="I559" s="6"/>
      <c r="M559" s="24"/>
    </row>
    <row r="560" spans="3:13" ht="12.75" customHeight="1" x14ac:dyDescent="0.25">
      <c r="C560" s="6"/>
      <c r="D560" s="24"/>
      <c r="E560" s="6"/>
      <c r="F560" s="24"/>
      <c r="I560" s="6"/>
      <c r="M560" s="24"/>
    </row>
    <row r="561" spans="3:13" ht="12.75" customHeight="1" x14ac:dyDescent="0.25">
      <c r="C561" s="6"/>
      <c r="D561" s="24"/>
      <c r="E561" s="6"/>
      <c r="F561" s="24"/>
      <c r="I561" s="6"/>
      <c r="M561" s="24"/>
    </row>
    <row r="562" spans="3:13" ht="12.75" customHeight="1" x14ac:dyDescent="0.25">
      <c r="C562" s="6"/>
      <c r="D562" s="24"/>
      <c r="E562" s="6"/>
      <c r="F562" s="24"/>
      <c r="I562" s="6"/>
      <c r="M562" s="24"/>
    </row>
    <row r="563" spans="3:13" ht="12.75" customHeight="1" x14ac:dyDescent="0.25">
      <c r="C563" s="6"/>
      <c r="D563" s="24"/>
      <c r="E563" s="6"/>
      <c r="F563" s="24"/>
      <c r="I563" s="6"/>
      <c r="M563" s="24"/>
    </row>
    <row r="564" spans="3:13" ht="12.75" customHeight="1" x14ac:dyDescent="0.25">
      <c r="C564" s="6"/>
      <c r="D564" s="24"/>
      <c r="E564" s="6"/>
      <c r="F564" s="24"/>
      <c r="I564" s="6"/>
      <c r="M564" s="24"/>
    </row>
    <row r="565" spans="3:13" ht="12.75" customHeight="1" x14ac:dyDescent="0.25">
      <c r="C565" s="6"/>
      <c r="D565" s="24"/>
      <c r="E565" s="6"/>
      <c r="F565" s="24"/>
      <c r="I565" s="6"/>
      <c r="M565" s="24"/>
    </row>
    <row r="566" spans="3:13" ht="12.75" customHeight="1" x14ac:dyDescent="0.25">
      <c r="C566" s="6"/>
      <c r="D566" s="24"/>
      <c r="E566" s="6"/>
      <c r="F566" s="24"/>
      <c r="I566" s="6"/>
      <c r="M566" s="24"/>
    </row>
    <row r="567" spans="3:13" ht="12.75" customHeight="1" x14ac:dyDescent="0.25">
      <c r="C567" s="6"/>
      <c r="D567" s="24"/>
      <c r="E567" s="6"/>
      <c r="F567" s="24"/>
      <c r="I567" s="6"/>
      <c r="M567" s="24"/>
    </row>
    <row r="568" spans="3:13" ht="12.75" customHeight="1" x14ac:dyDescent="0.25">
      <c r="C568" s="6"/>
      <c r="D568" s="24"/>
      <c r="E568" s="6"/>
      <c r="F568" s="24"/>
      <c r="I568" s="6"/>
      <c r="M568" s="24"/>
    </row>
    <row r="569" spans="3:13" ht="12.75" customHeight="1" x14ac:dyDescent="0.25">
      <c r="C569" s="6"/>
      <c r="D569" s="24"/>
      <c r="E569" s="6"/>
      <c r="F569" s="24"/>
      <c r="I569" s="6"/>
      <c r="M569" s="24"/>
    </row>
    <row r="570" spans="3:13" ht="12.75" customHeight="1" x14ac:dyDescent="0.25">
      <c r="C570" s="6"/>
      <c r="D570" s="24"/>
      <c r="E570" s="6"/>
      <c r="F570" s="24"/>
      <c r="I570" s="6"/>
      <c r="M570" s="24"/>
    </row>
    <row r="571" spans="3:13" ht="12.75" customHeight="1" x14ac:dyDescent="0.25">
      <c r="C571" s="6"/>
      <c r="D571" s="24"/>
      <c r="E571" s="6"/>
      <c r="F571" s="24"/>
      <c r="I571" s="6"/>
      <c r="M571" s="24"/>
    </row>
    <row r="572" spans="3:13" ht="12.75" customHeight="1" x14ac:dyDescent="0.25">
      <c r="C572" s="6"/>
      <c r="D572" s="24"/>
      <c r="E572" s="6"/>
      <c r="F572" s="24"/>
      <c r="I572" s="6"/>
      <c r="M572" s="24"/>
    </row>
    <row r="573" spans="3:13" ht="12.75" customHeight="1" x14ac:dyDescent="0.25">
      <c r="C573" s="6"/>
      <c r="D573" s="24"/>
      <c r="E573" s="6"/>
      <c r="F573" s="24"/>
      <c r="I573" s="6"/>
      <c r="M573" s="24"/>
    </row>
    <row r="574" spans="3:13" ht="12.75" customHeight="1" x14ac:dyDescent="0.25">
      <c r="C574" s="6"/>
      <c r="D574" s="24"/>
      <c r="E574" s="6"/>
      <c r="F574" s="24"/>
      <c r="I574" s="6"/>
      <c r="M574" s="24"/>
    </row>
    <row r="575" spans="3:13" ht="12.75" customHeight="1" x14ac:dyDescent="0.25">
      <c r="C575" s="6"/>
      <c r="D575" s="24"/>
      <c r="E575" s="6"/>
      <c r="F575" s="24"/>
      <c r="I575" s="6"/>
      <c r="M575" s="24"/>
    </row>
    <row r="576" spans="3:13" ht="12.75" customHeight="1" x14ac:dyDescent="0.25">
      <c r="C576" s="6"/>
      <c r="D576" s="24"/>
      <c r="E576" s="6"/>
      <c r="F576" s="24"/>
      <c r="I576" s="6"/>
      <c r="M576" s="24"/>
    </row>
    <row r="577" spans="3:13" ht="12.75" customHeight="1" x14ac:dyDescent="0.25">
      <c r="C577" s="6"/>
      <c r="D577" s="24"/>
      <c r="E577" s="6"/>
      <c r="F577" s="24"/>
      <c r="I577" s="6"/>
      <c r="M577" s="24"/>
    </row>
    <row r="578" spans="3:13" ht="12.75" customHeight="1" x14ac:dyDescent="0.25">
      <c r="C578" s="6"/>
      <c r="D578" s="24"/>
      <c r="E578" s="6"/>
      <c r="F578" s="24"/>
      <c r="I578" s="6"/>
      <c r="M578" s="24"/>
    </row>
    <row r="579" spans="3:13" ht="12.75" customHeight="1" x14ac:dyDescent="0.25">
      <c r="C579" s="6"/>
      <c r="D579" s="24"/>
      <c r="E579" s="6"/>
      <c r="F579" s="24"/>
      <c r="I579" s="6"/>
      <c r="M579" s="24"/>
    </row>
    <row r="580" spans="3:13" ht="12.75" customHeight="1" x14ac:dyDescent="0.25">
      <c r="C580" s="6"/>
      <c r="D580" s="24"/>
      <c r="E580" s="6"/>
      <c r="F580" s="24"/>
      <c r="I580" s="6"/>
      <c r="M580" s="24"/>
    </row>
    <row r="581" spans="3:13" ht="12.75" customHeight="1" x14ac:dyDescent="0.25">
      <c r="C581" s="6"/>
      <c r="D581" s="24"/>
      <c r="E581" s="6"/>
      <c r="F581" s="24"/>
      <c r="I581" s="6"/>
      <c r="M581" s="24"/>
    </row>
    <row r="582" spans="3:13" ht="12.75" customHeight="1" x14ac:dyDescent="0.25">
      <c r="C582" s="6"/>
      <c r="D582" s="24"/>
      <c r="E582" s="6"/>
      <c r="F582" s="24"/>
      <c r="I582" s="6"/>
      <c r="M582" s="24"/>
    </row>
    <row r="583" spans="3:13" ht="12.75" customHeight="1" x14ac:dyDescent="0.25">
      <c r="C583" s="6"/>
      <c r="D583" s="24"/>
      <c r="E583" s="6"/>
      <c r="F583" s="24"/>
      <c r="I583" s="6"/>
      <c r="M583" s="24"/>
    </row>
    <row r="584" spans="3:13" ht="12.75" customHeight="1" x14ac:dyDescent="0.25">
      <c r="C584" s="6"/>
      <c r="D584" s="24"/>
      <c r="E584" s="6"/>
      <c r="F584" s="24"/>
      <c r="I584" s="6"/>
      <c r="M584" s="24"/>
    </row>
    <row r="585" spans="3:13" ht="12.75" customHeight="1" x14ac:dyDescent="0.25">
      <c r="C585" s="6"/>
      <c r="D585" s="24"/>
      <c r="E585" s="6"/>
      <c r="F585" s="24"/>
      <c r="I585" s="6"/>
      <c r="M585" s="24"/>
    </row>
    <row r="586" spans="3:13" ht="12.75" customHeight="1" x14ac:dyDescent="0.25">
      <c r="C586" s="6"/>
      <c r="D586" s="24"/>
      <c r="E586" s="6"/>
      <c r="F586" s="24"/>
      <c r="I586" s="6"/>
      <c r="M586" s="24"/>
    </row>
    <row r="587" spans="3:13" ht="12.75" customHeight="1" x14ac:dyDescent="0.25">
      <c r="C587" s="6"/>
      <c r="D587" s="24"/>
      <c r="E587" s="6"/>
      <c r="F587" s="24"/>
      <c r="I587" s="6"/>
      <c r="M587" s="24"/>
    </row>
    <row r="588" spans="3:13" ht="12.75" customHeight="1" x14ac:dyDescent="0.25">
      <c r="C588" s="6"/>
      <c r="D588" s="24"/>
      <c r="E588" s="6"/>
      <c r="F588" s="24"/>
      <c r="I588" s="6"/>
      <c r="M588" s="24"/>
    </row>
    <row r="589" spans="3:13" ht="12.75" customHeight="1" x14ac:dyDescent="0.25">
      <c r="C589" s="6"/>
      <c r="D589" s="24"/>
      <c r="E589" s="6"/>
      <c r="F589" s="24"/>
      <c r="I589" s="6"/>
      <c r="M589" s="24"/>
    </row>
    <row r="590" spans="3:13" ht="12.75" customHeight="1" x14ac:dyDescent="0.25">
      <c r="C590" s="6"/>
      <c r="D590" s="24"/>
      <c r="E590" s="6"/>
      <c r="F590" s="24"/>
      <c r="I590" s="6"/>
      <c r="M590" s="24"/>
    </row>
    <row r="591" spans="3:13" ht="12.75" customHeight="1" x14ac:dyDescent="0.25">
      <c r="C591" s="6"/>
      <c r="D591" s="24"/>
      <c r="E591" s="6"/>
      <c r="F591" s="24"/>
      <c r="I591" s="6"/>
      <c r="M591" s="24"/>
    </row>
    <row r="592" spans="3:13" ht="12.75" customHeight="1" x14ac:dyDescent="0.25">
      <c r="C592" s="6"/>
      <c r="D592" s="24"/>
      <c r="E592" s="6"/>
      <c r="F592" s="24"/>
      <c r="I592" s="6"/>
      <c r="M592" s="24"/>
    </row>
    <row r="593" spans="3:13" ht="12.75" customHeight="1" x14ac:dyDescent="0.25">
      <c r="C593" s="6"/>
      <c r="D593" s="24"/>
      <c r="E593" s="6"/>
      <c r="F593" s="24"/>
      <c r="I593" s="6"/>
      <c r="M593" s="24"/>
    </row>
    <row r="594" spans="3:13" ht="12.75" customHeight="1" x14ac:dyDescent="0.25">
      <c r="C594" s="6"/>
      <c r="D594" s="24"/>
      <c r="E594" s="6"/>
      <c r="F594" s="24"/>
      <c r="I594" s="6"/>
      <c r="M594" s="24"/>
    </row>
    <row r="595" spans="3:13" ht="12.75" customHeight="1" x14ac:dyDescent="0.25">
      <c r="C595" s="6"/>
      <c r="D595" s="24"/>
      <c r="E595" s="6"/>
      <c r="F595" s="24"/>
      <c r="I595" s="6"/>
      <c r="M595" s="24"/>
    </row>
    <row r="596" spans="3:13" ht="12.75" customHeight="1" x14ac:dyDescent="0.25">
      <c r="C596" s="6"/>
      <c r="D596" s="24"/>
      <c r="E596" s="6"/>
      <c r="F596" s="24"/>
      <c r="I596" s="6"/>
      <c r="M596" s="24"/>
    </row>
    <row r="597" spans="3:13" ht="12.75" customHeight="1" x14ac:dyDescent="0.25">
      <c r="C597" s="6"/>
      <c r="D597" s="24"/>
      <c r="E597" s="6"/>
      <c r="F597" s="24"/>
      <c r="I597" s="6"/>
      <c r="M597" s="24"/>
    </row>
    <row r="598" spans="3:13" ht="12.75" customHeight="1" x14ac:dyDescent="0.25">
      <c r="C598" s="6"/>
      <c r="D598" s="24"/>
      <c r="E598" s="6"/>
      <c r="F598" s="24"/>
      <c r="I598" s="6"/>
      <c r="M598" s="24"/>
    </row>
    <row r="599" spans="3:13" ht="12.75" customHeight="1" x14ac:dyDescent="0.25">
      <c r="C599" s="6"/>
      <c r="D599" s="24"/>
      <c r="E599" s="6"/>
      <c r="F599" s="24"/>
      <c r="I599" s="6"/>
      <c r="M599" s="24"/>
    </row>
    <row r="600" spans="3:13" ht="12.75" customHeight="1" x14ac:dyDescent="0.25">
      <c r="C600" s="6"/>
      <c r="D600" s="24"/>
      <c r="E600" s="6"/>
      <c r="F600" s="24"/>
      <c r="I600" s="6"/>
      <c r="M600" s="24"/>
    </row>
    <row r="601" spans="3:13" ht="12.75" customHeight="1" x14ac:dyDescent="0.25">
      <c r="C601" s="6"/>
      <c r="D601" s="24"/>
      <c r="E601" s="6"/>
      <c r="F601" s="24"/>
      <c r="I601" s="6"/>
      <c r="M601" s="24"/>
    </row>
    <row r="602" spans="3:13" ht="12.75" customHeight="1" x14ac:dyDescent="0.25">
      <c r="C602" s="6"/>
      <c r="D602" s="24"/>
      <c r="E602" s="6"/>
      <c r="F602" s="24"/>
      <c r="I602" s="6"/>
      <c r="M602" s="24"/>
    </row>
    <row r="603" spans="3:13" ht="12.75" customHeight="1" x14ac:dyDescent="0.25">
      <c r="C603" s="6"/>
      <c r="D603" s="24"/>
      <c r="E603" s="6"/>
      <c r="F603" s="24"/>
      <c r="I603" s="6"/>
      <c r="M603" s="24"/>
    </row>
    <row r="604" spans="3:13" ht="12.75" customHeight="1" x14ac:dyDescent="0.25">
      <c r="C604" s="6"/>
      <c r="D604" s="24"/>
      <c r="E604" s="6"/>
      <c r="F604" s="24"/>
      <c r="I604" s="6"/>
      <c r="M604" s="24"/>
    </row>
    <row r="605" spans="3:13" ht="12.75" customHeight="1" x14ac:dyDescent="0.25">
      <c r="C605" s="6"/>
      <c r="D605" s="24"/>
      <c r="E605" s="6"/>
      <c r="F605" s="24"/>
      <c r="I605" s="6"/>
      <c r="M605" s="24"/>
    </row>
    <row r="606" spans="3:13" ht="12.75" customHeight="1" x14ac:dyDescent="0.25">
      <c r="C606" s="6"/>
      <c r="D606" s="24"/>
      <c r="E606" s="6"/>
      <c r="F606" s="24"/>
      <c r="I606" s="6"/>
      <c r="M606" s="24"/>
    </row>
    <row r="607" spans="3:13" ht="12.75" customHeight="1" x14ac:dyDescent="0.25">
      <c r="C607" s="6"/>
      <c r="D607" s="24"/>
      <c r="E607" s="6"/>
      <c r="F607" s="24"/>
      <c r="I607" s="6"/>
      <c r="M607" s="24"/>
    </row>
    <row r="608" spans="3:13" ht="12.75" customHeight="1" x14ac:dyDescent="0.25">
      <c r="C608" s="6"/>
      <c r="D608" s="24"/>
      <c r="E608" s="6"/>
      <c r="F608" s="24"/>
      <c r="I608" s="6"/>
      <c r="M608" s="24"/>
    </row>
    <row r="609" spans="3:13" ht="12.75" customHeight="1" x14ac:dyDescent="0.25">
      <c r="C609" s="6"/>
      <c r="D609" s="24"/>
      <c r="E609" s="6"/>
      <c r="F609" s="24"/>
      <c r="I609" s="6"/>
      <c r="M609" s="24"/>
    </row>
    <row r="610" spans="3:13" ht="12.75" customHeight="1" x14ac:dyDescent="0.25">
      <c r="C610" s="6"/>
      <c r="D610" s="24"/>
      <c r="E610" s="6"/>
      <c r="F610" s="24"/>
      <c r="I610" s="6"/>
      <c r="M610" s="24"/>
    </row>
    <row r="611" spans="3:13" ht="12.75" customHeight="1" x14ac:dyDescent="0.25">
      <c r="C611" s="6"/>
      <c r="D611" s="24"/>
      <c r="E611" s="6"/>
      <c r="F611" s="24"/>
      <c r="I611" s="6"/>
      <c r="M611" s="24"/>
    </row>
    <row r="612" spans="3:13" ht="12.75" customHeight="1" x14ac:dyDescent="0.25">
      <c r="C612" s="6"/>
      <c r="D612" s="24"/>
      <c r="E612" s="6"/>
      <c r="F612" s="24"/>
      <c r="I612" s="6"/>
      <c r="M612" s="24"/>
    </row>
    <row r="613" spans="3:13" ht="12.75" customHeight="1" x14ac:dyDescent="0.25">
      <c r="C613" s="6"/>
      <c r="D613" s="24"/>
      <c r="E613" s="6"/>
      <c r="F613" s="24"/>
      <c r="I613" s="6"/>
      <c r="M613" s="24"/>
    </row>
    <row r="614" spans="3:13" ht="12.75" customHeight="1" x14ac:dyDescent="0.25">
      <c r="C614" s="6"/>
      <c r="D614" s="24"/>
      <c r="E614" s="6"/>
      <c r="F614" s="24"/>
      <c r="I614" s="6"/>
      <c r="M614" s="24"/>
    </row>
    <row r="615" spans="3:13" ht="12.75" customHeight="1" x14ac:dyDescent="0.25">
      <c r="C615" s="6"/>
      <c r="D615" s="24"/>
      <c r="E615" s="6"/>
      <c r="F615" s="24"/>
      <c r="I615" s="6"/>
      <c r="M615" s="24"/>
    </row>
    <row r="616" spans="3:13" ht="12.75" customHeight="1" x14ac:dyDescent="0.25">
      <c r="C616" s="6"/>
      <c r="D616" s="24"/>
      <c r="E616" s="6"/>
      <c r="F616" s="24"/>
      <c r="I616" s="6"/>
      <c r="M616" s="24"/>
    </row>
    <row r="617" spans="3:13" ht="12.75" customHeight="1" x14ac:dyDescent="0.25">
      <c r="C617" s="6"/>
      <c r="D617" s="24"/>
      <c r="E617" s="6"/>
      <c r="F617" s="24"/>
      <c r="I617" s="6"/>
      <c r="M617" s="24"/>
    </row>
    <row r="618" spans="3:13" ht="12.75" customHeight="1" x14ac:dyDescent="0.25">
      <c r="C618" s="6"/>
      <c r="D618" s="24"/>
      <c r="E618" s="6"/>
      <c r="F618" s="24"/>
      <c r="I618" s="6"/>
      <c r="M618" s="24"/>
    </row>
    <row r="619" spans="3:13" ht="12.75" customHeight="1" x14ac:dyDescent="0.25">
      <c r="C619" s="6"/>
      <c r="D619" s="24"/>
      <c r="E619" s="6"/>
      <c r="F619" s="24"/>
      <c r="I619" s="6"/>
      <c r="M619" s="24"/>
    </row>
    <row r="620" spans="3:13" ht="12.75" customHeight="1" x14ac:dyDescent="0.25">
      <c r="C620" s="6"/>
      <c r="D620" s="24"/>
      <c r="E620" s="6"/>
      <c r="F620" s="24"/>
      <c r="I620" s="6"/>
      <c r="M620" s="24"/>
    </row>
    <row r="621" spans="3:13" ht="12.75" customHeight="1" x14ac:dyDescent="0.25">
      <c r="C621" s="6"/>
      <c r="D621" s="24"/>
      <c r="E621" s="6"/>
      <c r="F621" s="24"/>
      <c r="I621" s="6"/>
      <c r="M621" s="24"/>
    </row>
    <row r="622" spans="3:13" ht="12.75" customHeight="1" x14ac:dyDescent="0.25">
      <c r="C622" s="6"/>
      <c r="D622" s="24"/>
      <c r="E622" s="6"/>
      <c r="F622" s="24"/>
      <c r="I622" s="6"/>
      <c r="M622" s="24"/>
    </row>
    <row r="623" spans="3:13" ht="12.75" customHeight="1" x14ac:dyDescent="0.25">
      <c r="C623" s="6"/>
      <c r="D623" s="24"/>
      <c r="E623" s="6"/>
      <c r="F623" s="24"/>
      <c r="I623" s="6"/>
      <c r="M623" s="24"/>
    </row>
    <row r="624" spans="3:13" ht="12.75" customHeight="1" x14ac:dyDescent="0.25">
      <c r="C624" s="6"/>
      <c r="D624" s="24"/>
      <c r="E624" s="6"/>
      <c r="F624" s="24"/>
      <c r="I624" s="6"/>
      <c r="M624" s="24"/>
    </row>
    <row r="625" spans="3:13" ht="12.75" customHeight="1" x14ac:dyDescent="0.25">
      <c r="C625" s="6"/>
      <c r="D625" s="24"/>
      <c r="E625" s="6"/>
      <c r="F625" s="24"/>
      <c r="I625" s="6"/>
      <c r="M625" s="24"/>
    </row>
    <row r="626" spans="3:13" ht="12.75" customHeight="1" x14ac:dyDescent="0.25">
      <c r="C626" s="6"/>
      <c r="D626" s="24"/>
      <c r="E626" s="6"/>
      <c r="F626" s="24"/>
      <c r="I626" s="6"/>
      <c r="M626" s="24"/>
    </row>
    <row r="627" spans="3:13" ht="12.75" customHeight="1" x14ac:dyDescent="0.25">
      <c r="C627" s="6"/>
      <c r="D627" s="24"/>
      <c r="E627" s="6"/>
      <c r="F627" s="24"/>
      <c r="I627" s="6"/>
      <c r="M627" s="24"/>
    </row>
    <row r="628" spans="3:13" ht="12.75" customHeight="1" x14ac:dyDescent="0.25">
      <c r="C628" s="6"/>
      <c r="D628" s="24"/>
      <c r="E628" s="6"/>
      <c r="F628" s="24"/>
      <c r="I628" s="6"/>
      <c r="M628" s="24"/>
    </row>
    <row r="629" spans="3:13" ht="12.75" customHeight="1" x14ac:dyDescent="0.25">
      <c r="C629" s="6"/>
      <c r="D629" s="24"/>
      <c r="E629" s="6"/>
      <c r="F629" s="24"/>
      <c r="I629" s="6"/>
      <c r="M629" s="24"/>
    </row>
    <row r="630" spans="3:13" ht="12.75" customHeight="1" x14ac:dyDescent="0.25">
      <c r="C630" s="6"/>
      <c r="D630" s="24"/>
      <c r="E630" s="6"/>
      <c r="F630" s="24"/>
      <c r="I630" s="6"/>
      <c r="M630" s="24"/>
    </row>
    <row r="631" spans="3:13" ht="12.75" customHeight="1" x14ac:dyDescent="0.25">
      <c r="C631" s="6"/>
      <c r="D631" s="24"/>
      <c r="E631" s="6"/>
      <c r="F631" s="24"/>
      <c r="I631" s="6"/>
      <c r="M631" s="24"/>
    </row>
    <row r="632" spans="3:13" ht="12.75" customHeight="1" x14ac:dyDescent="0.25">
      <c r="C632" s="6"/>
      <c r="D632" s="24"/>
      <c r="E632" s="6"/>
      <c r="F632" s="24"/>
      <c r="I632" s="6"/>
      <c r="M632" s="24"/>
    </row>
    <row r="633" spans="3:13" ht="12.75" customHeight="1" x14ac:dyDescent="0.25">
      <c r="C633" s="6"/>
      <c r="D633" s="24"/>
      <c r="E633" s="6"/>
      <c r="F633" s="24"/>
      <c r="I633" s="6"/>
      <c r="M633" s="24"/>
    </row>
    <row r="634" spans="3:13" ht="12.75" customHeight="1" x14ac:dyDescent="0.25">
      <c r="C634" s="6"/>
      <c r="D634" s="24"/>
      <c r="E634" s="6"/>
      <c r="F634" s="24"/>
      <c r="I634" s="6"/>
      <c r="M634" s="24"/>
    </row>
    <row r="635" spans="3:13" ht="12.75" customHeight="1" x14ac:dyDescent="0.25">
      <c r="C635" s="6"/>
      <c r="D635" s="24"/>
      <c r="E635" s="6"/>
      <c r="F635" s="24"/>
      <c r="I635" s="6"/>
      <c r="M635" s="24"/>
    </row>
    <row r="636" spans="3:13" ht="12.75" customHeight="1" x14ac:dyDescent="0.25">
      <c r="C636" s="6"/>
      <c r="D636" s="24"/>
      <c r="E636" s="6"/>
      <c r="F636" s="24"/>
      <c r="I636" s="6"/>
      <c r="M636" s="24"/>
    </row>
    <row r="637" spans="3:13" ht="12.75" customHeight="1" x14ac:dyDescent="0.25">
      <c r="C637" s="6"/>
      <c r="D637" s="24"/>
      <c r="E637" s="6"/>
      <c r="F637" s="24"/>
      <c r="I637" s="6"/>
      <c r="M637" s="24"/>
    </row>
    <row r="638" spans="3:13" ht="12.75" customHeight="1" x14ac:dyDescent="0.25">
      <c r="C638" s="6"/>
      <c r="D638" s="24"/>
      <c r="E638" s="6"/>
      <c r="F638" s="24"/>
      <c r="I638" s="6"/>
      <c r="M638" s="24"/>
    </row>
    <row r="639" spans="3:13" ht="12.75" customHeight="1" x14ac:dyDescent="0.25">
      <c r="C639" s="6"/>
      <c r="D639" s="24"/>
      <c r="E639" s="6"/>
      <c r="F639" s="24"/>
      <c r="I639" s="6"/>
      <c r="M639" s="24"/>
    </row>
    <row r="640" spans="3:13" ht="12.75" customHeight="1" x14ac:dyDescent="0.25">
      <c r="C640" s="6"/>
      <c r="D640" s="24"/>
      <c r="E640" s="6"/>
      <c r="F640" s="24"/>
      <c r="I640" s="6"/>
      <c r="M640" s="24"/>
    </row>
    <row r="641" spans="3:13" ht="12.75" customHeight="1" x14ac:dyDescent="0.25">
      <c r="C641" s="6"/>
      <c r="D641" s="24"/>
      <c r="E641" s="6"/>
      <c r="F641" s="24"/>
      <c r="I641" s="6"/>
      <c r="M641" s="24"/>
    </row>
    <row r="642" spans="3:13" ht="12.75" customHeight="1" x14ac:dyDescent="0.25">
      <c r="C642" s="6"/>
      <c r="D642" s="24"/>
      <c r="E642" s="6"/>
      <c r="F642" s="24"/>
      <c r="I642" s="6"/>
      <c r="M642" s="24"/>
    </row>
    <row r="643" spans="3:13" ht="12.75" customHeight="1" x14ac:dyDescent="0.25">
      <c r="C643" s="6"/>
      <c r="D643" s="24"/>
      <c r="E643" s="6"/>
      <c r="F643" s="24"/>
      <c r="I643" s="6"/>
      <c r="M643" s="24"/>
    </row>
    <row r="644" spans="3:13" ht="12.75" customHeight="1" x14ac:dyDescent="0.25">
      <c r="C644" s="6"/>
      <c r="D644" s="24"/>
      <c r="E644" s="6"/>
      <c r="F644" s="24"/>
      <c r="I644" s="6"/>
      <c r="M644" s="24"/>
    </row>
    <row r="645" spans="3:13" ht="12.75" customHeight="1" x14ac:dyDescent="0.25">
      <c r="C645" s="6"/>
      <c r="D645" s="24"/>
      <c r="E645" s="6"/>
      <c r="F645" s="24"/>
      <c r="I645" s="6"/>
      <c r="M645" s="24"/>
    </row>
    <row r="646" spans="3:13" ht="12.75" customHeight="1" x14ac:dyDescent="0.25">
      <c r="C646" s="6"/>
      <c r="D646" s="24"/>
      <c r="E646" s="6"/>
      <c r="F646" s="24"/>
      <c r="I646" s="6"/>
      <c r="M646" s="24"/>
    </row>
    <row r="647" spans="3:13" ht="12.75" customHeight="1" x14ac:dyDescent="0.25">
      <c r="C647" s="6"/>
      <c r="D647" s="24"/>
      <c r="E647" s="6"/>
      <c r="F647" s="24"/>
      <c r="I647" s="6"/>
      <c r="M647" s="24"/>
    </row>
    <row r="648" spans="3:13" ht="12.75" customHeight="1" x14ac:dyDescent="0.25">
      <c r="C648" s="6"/>
      <c r="D648" s="24"/>
      <c r="E648" s="6"/>
      <c r="F648" s="24"/>
      <c r="I648" s="6"/>
      <c r="M648" s="24"/>
    </row>
    <row r="649" spans="3:13" ht="12.75" customHeight="1" x14ac:dyDescent="0.25">
      <c r="C649" s="6"/>
      <c r="D649" s="24"/>
      <c r="E649" s="6"/>
      <c r="F649" s="24"/>
      <c r="I649" s="6"/>
      <c r="M649" s="24"/>
    </row>
    <row r="650" spans="3:13" ht="12.75" customHeight="1" x14ac:dyDescent="0.25">
      <c r="C650" s="6"/>
      <c r="D650" s="24"/>
      <c r="E650" s="6"/>
      <c r="F650" s="24"/>
      <c r="I650" s="6"/>
      <c r="M650" s="24"/>
    </row>
    <row r="651" spans="3:13" ht="12.75" customHeight="1" x14ac:dyDescent="0.25">
      <c r="C651" s="6"/>
      <c r="D651" s="24"/>
      <c r="E651" s="6"/>
      <c r="F651" s="24"/>
      <c r="I651" s="6"/>
      <c r="M651" s="24"/>
    </row>
    <row r="652" spans="3:13" ht="12.75" customHeight="1" x14ac:dyDescent="0.25">
      <c r="C652" s="6"/>
      <c r="D652" s="24"/>
      <c r="E652" s="6"/>
      <c r="F652" s="24"/>
      <c r="I652" s="6"/>
      <c r="M652" s="24"/>
    </row>
    <row r="653" spans="3:13" ht="12.75" customHeight="1" x14ac:dyDescent="0.25">
      <c r="C653" s="6"/>
      <c r="D653" s="24"/>
      <c r="E653" s="6"/>
      <c r="F653" s="24"/>
      <c r="I653" s="6"/>
      <c r="M653" s="24"/>
    </row>
    <row r="654" spans="3:13" ht="12.75" customHeight="1" x14ac:dyDescent="0.25">
      <c r="C654" s="6"/>
      <c r="D654" s="24"/>
      <c r="E654" s="6"/>
      <c r="F654" s="24"/>
      <c r="I654" s="6"/>
      <c r="M654" s="24"/>
    </row>
    <row r="655" spans="3:13" ht="12.75" customHeight="1" x14ac:dyDescent="0.25">
      <c r="C655" s="6"/>
      <c r="D655" s="24"/>
      <c r="E655" s="6"/>
      <c r="F655" s="24"/>
      <c r="I655" s="6"/>
      <c r="M655" s="24"/>
    </row>
    <row r="656" spans="3:13" ht="12.75" customHeight="1" x14ac:dyDescent="0.25">
      <c r="C656" s="6"/>
      <c r="D656" s="24"/>
      <c r="E656" s="6"/>
      <c r="F656" s="24"/>
      <c r="I656" s="6"/>
      <c r="M656" s="24"/>
    </row>
    <row r="657" spans="3:13" ht="12.75" customHeight="1" x14ac:dyDescent="0.25">
      <c r="C657" s="6"/>
      <c r="D657" s="24"/>
      <c r="E657" s="6"/>
      <c r="F657" s="24"/>
      <c r="I657" s="6"/>
      <c r="M657" s="24"/>
    </row>
    <row r="658" spans="3:13" ht="12.75" customHeight="1" x14ac:dyDescent="0.25">
      <c r="C658" s="6"/>
      <c r="D658" s="24"/>
      <c r="E658" s="6"/>
      <c r="F658" s="24"/>
      <c r="I658" s="6"/>
      <c r="M658" s="24"/>
    </row>
    <row r="659" spans="3:13" ht="12.75" customHeight="1" x14ac:dyDescent="0.25">
      <c r="C659" s="6"/>
      <c r="D659" s="24"/>
      <c r="E659" s="6"/>
      <c r="F659" s="24"/>
      <c r="I659" s="6"/>
      <c r="M659" s="24"/>
    </row>
    <row r="660" spans="3:13" ht="12.75" customHeight="1" x14ac:dyDescent="0.25">
      <c r="C660" s="6"/>
      <c r="D660" s="24"/>
      <c r="E660" s="6"/>
      <c r="F660" s="24"/>
      <c r="I660" s="6"/>
      <c r="M660" s="24"/>
    </row>
    <row r="661" spans="3:13" ht="12.75" customHeight="1" x14ac:dyDescent="0.25">
      <c r="C661" s="6"/>
      <c r="D661" s="24"/>
      <c r="E661" s="6"/>
      <c r="F661" s="24"/>
      <c r="I661" s="6"/>
      <c r="M661" s="24"/>
    </row>
    <row r="662" spans="3:13" ht="12.75" customHeight="1" x14ac:dyDescent="0.25">
      <c r="C662" s="6"/>
      <c r="D662" s="24"/>
      <c r="E662" s="6"/>
      <c r="F662" s="24"/>
      <c r="I662" s="6"/>
      <c r="M662" s="24"/>
    </row>
    <row r="663" spans="3:13" ht="12.75" customHeight="1" x14ac:dyDescent="0.25">
      <c r="C663" s="6"/>
      <c r="D663" s="24"/>
      <c r="E663" s="6"/>
      <c r="F663" s="24"/>
      <c r="I663" s="6"/>
      <c r="M663" s="24"/>
    </row>
    <row r="664" spans="3:13" ht="12.75" customHeight="1" x14ac:dyDescent="0.25">
      <c r="C664" s="6"/>
      <c r="D664" s="24"/>
      <c r="E664" s="6"/>
      <c r="F664" s="24"/>
      <c r="I664" s="6"/>
      <c r="M664" s="24"/>
    </row>
    <row r="665" spans="3:13" ht="12.75" customHeight="1" x14ac:dyDescent="0.25">
      <c r="C665" s="6"/>
      <c r="D665" s="24"/>
      <c r="E665" s="6"/>
      <c r="F665" s="24"/>
      <c r="I665" s="6"/>
      <c r="M665" s="24"/>
    </row>
    <row r="666" spans="3:13" ht="12.75" customHeight="1" x14ac:dyDescent="0.25">
      <c r="C666" s="6"/>
      <c r="D666" s="24"/>
      <c r="E666" s="6"/>
      <c r="F666" s="24"/>
      <c r="I666" s="6"/>
      <c r="M666" s="24"/>
    </row>
    <row r="667" spans="3:13" ht="12.75" customHeight="1" x14ac:dyDescent="0.25">
      <c r="C667" s="6"/>
      <c r="D667" s="24"/>
      <c r="E667" s="6"/>
      <c r="F667" s="24"/>
      <c r="I667" s="6"/>
      <c r="M667" s="24"/>
    </row>
    <row r="668" spans="3:13" ht="12.75" customHeight="1" x14ac:dyDescent="0.25">
      <c r="C668" s="6"/>
      <c r="D668" s="24"/>
      <c r="E668" s="6"/>
      <c r="F668" s="24"/>
      <c r="I668" s="6"/>
      <c r="M668" s="24"/>
    </row>
    <row r="669" spans="3:13" ht="12.75" customHeight="1" x14ac:dyDescent="0.25">
      <c r="C669" s="6"/>
      <c r="D669" s="24"/>
      <c r="E669" s="6"/>
      <c r="F669" s="24"/>
      <c r="I669" s="6"/>
      <c r="M669" s="24"/>
    </row>
    <row r="670" spans="3:13" ht="12.75" customHeight="1" x14ac:dyDescent="0.25">
      <c r="C670" s="6"/>
      <c r="D670" s="24"/>
      <c r="E670" s="6"/>
      <c r="F670" s="24"/>
      <c r="I670" s="6"/>
      <c r="M670" s="24"/>
    </row>
    <row r="671" spans="3:13" ht="12.75" customHeight="1" x14ac:dyDescent="0.25">
      <c r="C671" s="6"/>
      <c r="D671" s="24"/>
      <c r="E671" s="6"/>
      <c r="F671" s="24"/>
      <c r="I671" s="6"/>
      <c r="M671" s="24"/>
    </row>
    <row r="672" spans="3:13" ht="12.75" customHeight="1" x14ac:dyDescent="0.25">
      <c r="C672" s="6"/>
      <c r="D672" s="24"/>
      <c r="E672" s="6"/>
      <c r="F672" s="24"/>
      <c r="I672" s="6"/>
      <c r="M672" s="24"/>
    </row>
    <row r="673" spans="3:13" ht="12.75" customHeight="1" x14ac:dyDescent="0.25">
      <c r="C673" s="6"/>
      <c r="D673" s="24"/>
      <c r="E673" s="6"/>
      <c r="F673" s="24"/>
      <c r="I673" s="6"/>
      <c r="M673" s="24"/>
    </row>
    <row r="674" spans="3:13" ht="12.75" customHeight="1" x14ac:dyDescent="0.25">
      <c r="C674" s="6"/>
      <c r="D674" s="24"/>
      <c r="E674" s="6"/>
      <c r="F674" s="24"/>
      <c r="I674" s="6"/>
      <c r="M674" s="24"/>
    </row>
    <row r="675" spans="3:13" ht="12.75" customHeight="1" x14ac:dyDescent="0.25">
      <c r="C675" s="6"/>
      <c r="D675" s="24"/>
      <c r="E675" s="6"/>
      <c r="F675" s="24"/>
      <c r="I675" s="6"/>
      <c r="M675" s="24"/>
    </row>
    <row r="676" spans="3:13" ht="12.75" customHeight="1" x14ac:dyDescent="0.25">
      <c r="C676" s="6"/>
      <c r="D676" s="24"/>
      <c r="E676" s="6"/>
      <c r="F676" s="24"/>
      <c r="I676" s="6"/>
      <c r="M676" s="24"/>
    </row>
    <row r="677" spans="3:13" ht="12.75" customHeight="1" x14ac:dyDescent="0.25">
      <c r="C677" s="6"/>
      <c r="D677" s="24"/>
      <c r="E677" s="6"/>
      <c r="F677" s="24"/>
      <c r="I677" s="6"/>
      <c r="M677" s="24"/>
    </row>
    <row r="678" spans="3:13" ht="12.75" customHeight="1" x14ac:dyDescent="0.25">
      <c r="C678" s="6"/>
      <c r="D678" s="24"/>
      <c r="E678" s="6"/>
      <c r="F678" s="24"/>
      <c r="I678" s="6"/>
      <c r="M678" s="24"/>
    </row>
    <row r="679" spans="3:13" ht="12.75" customHeight="1" x14ac:dyDescent="0.25">
      <c r="C679" s="6"/>
      <c r="D679" s="24"/>
      <c r="E679" s="6"/>
      <c r="F679" s="24"/>
      <c r="I679" s="6"/>
      <c r="M679" s="24"/>
    </row>
    <row r="680" spans="3:13" ht="12.75" customHeight="1" x14ac:dyDescent="0.25">
      <c r="C680" s="6"/>
      <c r="D680" s="24"/>
      <c r="E680" s="6"/>
      <c r="F680" s="24"/>
      <c r="I680" s="6"/>
      <c r="M680" s="24"/>
    </row>
    <row r="681" spans="3:13" ht="12.75" customHeight="1" x14ac:dyDescent="0.25">
      <c r="C681" s="6"/>
      <c r="D681" s="24"/>
      <c r="E681" s="6"/>
      <c r="F681" s="24"/>
      <c r="I681" s="6"/>
      <c r="M681" s="24"/>
    </row>
    <row r="682" spans="3:13" ht="12.75" customHeight="1" x14ac:dyDescent="0.25">
      <c r="C682" s="6"/>
      <c r="D682" s="24"/>
      <c r="E682" s="6"/>
      <c r="F682" s="24"/>
      <c r="I682" s="6"/>
      <c r="M682" s="24"/>
    </row>
    <row r="683" spans="3:13" ht="12.75" customHeight="1" x14ac:dyDescent="0.25">
      <c r="C683" s="6"/>
      <c r="D683" s="24"/>
      <c r="E683" s="6"/>
      <c r="F683" s="24"/>
      <c r="I683" s="6"/>
      <c r="M683" s="24"/>
    </row>
    <row r="684" spans="3:13" ht="12.75" customHeight="1" x14ac:dyDescent="0.25">
      <c r="C684" s="6"/>
      <c r="D684" s="24"/>
      <c r="E684" s="6"/>
      <c r="F684" s="24"/>
      <c r="I684" s="6"/>
      <c r="M684" s="24"/>
    </row>
    <row r="685" spans="3:13" ht="12.75" customHeight="1" x14ac:dyDescent="0.25">
      <c r="C685" s="6"/>
      <c r="D685" s="24"/>
      <c r="E685" s="6"/>
      <c r="F685" s="24"/>
      <c r="I685" s="6"/>
      <c r="M685" s="24"/>
    </row>
    <row r="686" spans="3:13" ht="12.75" customHeight="1" x14ac:dyDescent="0.25">
      <c r="C686" s="6"/>
      <c r="D686" s="24"/>
      <c r="E686" s="6"/>
      <c r="F686" s="24"/>
      <c r="I686" s="6"/>
      <c r="M686" s="24"/>
    </row>
    <row r="687" spans="3:13" ht="12.75" customHeight="1" x14ac:dyDescent="0.25">
      <c r="C687" s="6"/>
      <c r="D687" s="24"/>
      <c r="E687" s="6"/>
      <c r="F687" s="24"/>
      <c r="I687" s="6"/>
      <c r="M687" s="24"/>
    </row>
    <row r="688" spans="3:13" ht="12.75" customHeight="1" x14ac:dyDescent="0.25">
      <c r="C688" s="6"/>
      <c r="D688" s="24"/>
      <c r="E688" s="6"/>
      <c r="F688" s="24"/>
      <c r="I688" s="6"/>
      <c r="M688" s="24"/>
    </row>
    <row r="689" spans="3:13" ht="12.75" customHeight="1" x14ac:dyDescent="0.25">
      <c r="C689" s="6"/>
      <c r="D689" s="24"/>
      <c r="E689" s="6"/>
      <c r="F689" s="24"/>
      <c r="I689" s="6"/>
      <c r="M689" s="24"/>
    </row>
    <row r="690" spans="3:13" ht="12.75" customHeight="1" x14ac:dyDescent="0.25">
      <c r="C690" s="6"/>
      <c r="D690" s="24"/>
      <c r="E690" s="6"/>
      <c r="F690" s="24"/>
      <c r="I690" s="6"/>
      <c r="M690" s="24"/>
    </row>
    <row r="691" spans="3:13" ht="12.75" customHeight="1" x14ac:dyDescent="0.25">
      <c r="C691" s="6"/>
      <c r="D691" s="24"/>
      <c r="E691" s="6"/>
      <c r="F691" s="24"/>
      <c r="I691" s="6"/>
      <c r="M691" s="24"/>
    </row>
    <row r="692" spans="3:13" ht="12.75" customHeight="1" x14ac:dyDescent="0.25">
      <c r="C692" s="6"/>
      <c r="D692" s="24"/>
      <c r="E692" s="6"/>
      <c r="F692" s="24"/>
      <c r="I692" s="6"/>
      <c r="M692" s="24"/>
    </row>
    <row r="693" spans="3:13" ht="12.75" customHeight="1" x14ac:dyDescent="0.25">
      <c r="C693" s="6"/>
      <c r="D693" s="24"/>
      <c r="E693" s="6"/>
      <c r="F693" s="24"/>
      <c r="I693" s="6"/>
      <c r="M693" s="24"/>
    </row>
    <row r="694" spans="3:13" ht="12.75" customHeight="1" x14ac:dyDescent="0.25">
      <c r="C694" s="6"/>
      <c r="D694" s="24"/>
      <c r="E694" s="6"/>
      <c r="F694" s="24"/>
      <c r="I694" s="6"/>
      <c r="M694" s="24"/>
    </row>
    <row r="695" spans="3:13" ht="12.75" customHeight="1" x14ac:dyDescent="0.25">
      <c r="C695" s="6"/>
      <c r="D695" s="24"/>
      <c r="E695" s="6"/>
      <c r="F695" s="24"/>
      <c r="I695" s="6"/>
      <c r="M695" s="24"/>
    </row>
    <row r="696" spans="3:13" ht="12.75" customHeight="1" x14ac:dyDescent="0.25">
      <c r="C696" s="6"/>
      <c r="D696" s="24"/>
      <c r="E696" s="6"/>
      <c r="F696" s="24"/>
      <c r="I696" s="6"/>
      <c r="M696" s="24"/>
    </row>
    <row r="697" spans="3:13" ht="12.75" customHeight="1" x14ac:dyDescent="0.25">
      <c r="C697" s="6"/>
      <c r="D697" s="24"/>
      <c r="E697" s="6"/>
      <c r="F697" s="24"/>
      <c r="I697" s="6"/>
      <c r="M697" s="24"/>
    </row>
    <row r="698" spans="3:13" ht="12.75" customHeight="1" x14ac:dyDescent="0.25">
      <c r="C698" s="6"/>
      <c r="D698" s="24"/>
      <c r="E698" s="6"/>
      <c r="F698" s="24"/>
      <c r="I698" s="6"/>
      <c r="M698" s="24"/>
    </row>
    <row r="699" spans="3:13" ht="12.75" customHeight="1" x14ac:dyDescent="0.25">
      <c r="C699" s="6"/>
      <c r="D699" s="24"/>
      <c r="E699" s="6"/>
      <c r="F699" s="24"/>
      <c r="I699" s="6"/>
      <c r="M699" s="24"/>
    </row>
    <row r="700" spans="3:13" ht="12.75" customHeight="1" x14ac:dyDescent="0.25">
      <c r="C700" s="6"/>
      <c r="D700" s="24"/>
      <c r="E700" s="6"/>
      <c r="F700" s="24"/>
      <c r="I700" s="6"/>
      <c r="M700" s="24"/>
    </row>
    <row r="701" spans="3:13" ht="12.75" customHeight="1" x14ac:dyDescent="0.25">
      <c r="C701" s="6"/>
      <c r="D701" s="24"/>
      <c r="E701" s="6"/>
      <c r="F701" s="24"/>
      <c r="I701" s="6"/>
      <c r="M701" s="24"/>
    </row>
    <row r="702" spans="3:13" ht="12.75" customHeight="1" x14ac:dyDescent="0.25">
      <c r="C702" s="6"/>
      <c r="D702" s="24"/>
      <c r="E702" s="6"/>
      <c r="F702" s="24"/>
      <c r="I702" s="6"/>
      <c r="M702" s="24"/>
    </row>
    <row r="703" spans="3:13" ht="12.75" customHeight="1" x14ac:dyDescent="0.25">
      <c r="C703" s="6"/>
      <c r="D703" s="24"/>
      <c r="E703" s="6"/>
      <c r="F703" s="24"/>
      <c r="I703" s="6"/>
      <c r="M703" s="24"/>
    </row>
    <row r="704" spans="3:13" ht="12.75" customHeight="1" x14ac:dyDescent="0.25">
      <c r="C704" s="6"/>
      <c r="D704" s="24"/>
      <c r="E704" s="6"/>
      <c r="F704" s="24"/>
      <c r="I704" s="6"/>
      <c r="M704" s="24"/>
    </row>
    <row r="705" spans="3:13" ht="12.75" customHeight="1" x14ac:dyDescent="0.25">
      <c r="C705" s="6"/>
      <c r="D705" s="24"/>
      <c r="E705" s="6"/>
      <c r="F705" s="24"/>
      <c r="I705" s="6"/>
      <c r="M705" s="24"/>
    </row>
    <row r="706" spans="3:13" ht="12.75" customHeight="1" x14ac:dyDescent="0.25">
      <c r="C706" s="6"/>
      <c r="D706" s="24"/>
      <c r="E706" s="6"/>
      <c r="F706" s="24"/>
      <c r="I706" s="6"/>
      <c r="M706" s="24"/>
    </row>
    <row r="707" spans="3:13" ht="12.75" customHeight="1" x14ac:dyDescent="0.25">
      <c r="C707" s="6"/>
      <c r="D707" s="24"/>
      <c r="E707" s="6"/>
      <c r="F707" s="24"/>
      <c r="I707" s="6"/>
      <c r="M707" s="24"/>
    </row>
    <row r="708" spans="3:13" ht="12.75" customHeight="1" x14ac:dyDescent="0.25">
      <c r="C708" s="6"/>
      <c r="D708" s="24"/>
      <c r="E708" s="6"/>
      <c r="F708" s="24"/>
      <c r="I708" s="6"/>
      <c r="M708" s="24"/>
    </row>
    <row r="709" spans="3:13" ht="12.75" customHeight="1" x14ac:dyDescent="0.25">
      <c r="C709" s="6"/>
      <c r="D709" s="24"/>
      <c r="E709" s="6"/>
      <c r="F709" s="24"/>
      <c r="I709" s="6"/>
      <c r="M709" s="24"/>
    </row>
    <row r="710" spans="3:13" ht="12.75" customHeight="1" x14ac:dyDescent="0.25">
      <c r="C710" s="6"/>
      <c r="D710" s="24"/>
      <c r="E710" s="6"/>
      <c r="F710" s="24"/>
      <c r="I710" s="6"/>
      <c r="M710" s="24"/>
    </row>
    <row r="711" spans="3:13" ht="12.75" customHeight="1" x14ac:dyDescent="0.25">
      <c r="C711" s="6"/>
      <c r="D711" s="24"/>
      <c r="E711" s="6"/>
      <c r="F711" s="24"/>
      <c r="I711" s="6"/>
      <c r="M711" s="24"/>
    </row>
    <row r="712" spans="3:13" ht="12.75" customHeight="1" x14ac:dyDescent="0.25">
      <c r="C712" s="6"/>
      <c r="D712" s="24"/>
      <c r="E712" s="6"/>
      <c r="F712" s="24"/>
      <c r="I712" s="6"/>
      <c r="M712" s="24"/>
    </row>
    <row r="713" spans="3:13" ht="12.75" customHeight="1" x14ac:dyDescent="0.25">
      <c r="C713" s="6"/>
      <c r="D713" s="24"/>
      <c r="E713" s="6"/>
      <c r="F713" s="24"/>
      <c r="I713" s="6"/>
      <c r="M713" s="24"/>
    </row>
    <row r="714" spans="3:13" ht="12.75" customHeight="1" x14ac:dyDescent="0.25">
      <c r="C714" s="6"/>
      <c r="D714" s="24"/>
      <c r="E714" s="6"/>
      <c r="F714" s="24"/>
      <c r="I714" s="6"/>
      <c r="M714" s="24"/>
    </row>
    <row r="715" spans="3:13" ht="12.75" customHeight="1" x14ac:dyDescent="0.25">
      <c r="C715" s="6"/>
      <c r="D715" s="24"/>
      <c r="E715" s="6"/>
      <c r="F715" s="24"/>
      <c r="I715" s="6"/>
      <c r="M715" s="24"/>
    </row>
    <row r="716" spans="3:13" ht="12.75" customHeight="1" x14ac:dyDescent="0.25">
      <c r="C716" s="6"/>
      <c r="D716" s="24"/>
      <c r="E716" s="6"/>
      <c r="F716" s="24"/>
      <c r="I716" s="6"/>
      <c r="M716" s="24"/>
    </row>
    <row r="717" spans="3:13" ht="12.75" customHeight="1" x14ac:dyDescent="0.25">
      <c r="C717" s="6"/>
      <c r="D717" s="24"/>
      <c r="E717" s="6"/>
      <c r="F717" s="24"/>
      <c r="I717" s="6"/>
      <c r="M717" s="24"/>
    </row>
    <row r="718" spans="3:13" ht="12.75" customHeight="1" x14ac:dyDescent="0.25">
      <c r="C718" s="6"/>
      <c r="D718" s="24"/>
      <c r="E718" s="6"/>
      <c r="F718" s="24"/>
      <c r="I718" s="6"/>
      <c r="M718" s="24"/>
    </row>
    <row r="719" spans="3:13" ht="12.75" customHeight="1" x14ac:dyDescent="0.25">
      <c r="C719" s="6"/>
      <c r="D719" s="24"/>
      <c r="E719" s="6"/>
      <c r="F719" s="24"/>
      <c r="I719" s="6"/>
      <c r="M719" s="24"/>
    </row>
    <row r="720" spans="3:13" ht="12.75" customHeight="1" x14ac:dyDescent="0.25">
      <c r="C720" s="6"/>
      <c r="D720" s="24"/>
      <c r="E720" s="6"/>
      <c r="F720" s="24"/>
      <c r="I720" s="6"/>
      <c r="M720" s="24"/>
    </row>
    <row r="721" spans="3:13" ht="12.75" customHeight="1" x14ac:dyDescent="0.25">
      <c r="C721" s="6"/>
      <c r="D721" s="24"/>
      <c r="E721" s="6"/>
      <c r="F721" s="24"/>
      <c r="I721" s="6"/>
      <c r="M721" s="24"/>
    </row>
    <row r="722" spans="3:13" ht="12.75" customHeight="1" x14ac:dyDescent="0.25">
      <c r="C722" s="6"/>
      <c r="D722" s="24"/>
      <c r="E722" s="6"/>
      <c r="F722" s="24"/>
      <c r="I722" s="6"/>
      <c r="M722" s="24"/>
    </row>
    <row r="723" spans="3:13" ht="12.75" customHeight="1" x14ac:dyDescent="0.25">
      <c r="C723" s="6"/>
      <c r="D723" s="24"/>
      <c r="E723" s="6"/>
      <c r="F723" s="24"/>
      <c r="I723" s="6"/>
      <c r="M723" s="24"/>
    </row>
    <row r="724" spans="3:13" ht="12.75" customHeight="1" x14ac:dyDescent="0.25">
      <c r="C724" s="6"/>
      <c r="D724" s="24"/>
      <c r="E724" s="6"/>
      <c r="F724" s="24"/>
      <c r="I724" s="6"/>
      <c r="M724" s="24"/>
    </row>
    <row r="725" spans="3:13" ht="12.75" customHeight="1" x14ac:dyDescent="0.25">
      <c r="C725" s="6"/>
      <c r="D725" s="24"/>
      <c r="E725" s="6"/>
      <c r="F725" s="24"/>
      <c r="I725" s="6"/>
      <c r="M725" s="24"/>
    </row>
    <row r="726" spans="3:13" ht="12.75" customHeight="1" x14ac:dyDescent="0.25">
      <c r="C726" s="6"/>
      <c r="D726" s="24"/>
      <c r="E726" s="6"/>
      <c r="F726" s="24"/>
      <c r="I726" s="6"/>
      <c r="M726" s="24"/>
    </row>
    <row r="727" spans="3:13" ht="12.75" customHeight="1" x14ac:dyDescent="0.25">
      <c r="C727" s="6"/>
      <c r="D727" s="24"/>
      <c r="E727" s="6"/>
      <c r="F727" s="24"/>
      <c r="I727" s="6"/>
      <c r="M727" s="24"/>
    </row>
    <row r="728" spans="3:13" ht="12.75" customHeight="1" x14ac:dyDescent="0.25">
      <c r="C728" s="6"/>
      <c r="D728" s="24"/>
      <c r="E728" s="6"/>
      <c r="F728" s="24"/>
      <c r="I728" s="6"/>
      <c r="M728" s="24"/>
    </row>
    <row r="729" spans="3:13" ht="12.75" customHeight="1" x14ac:dyDescent="0.25">
      <c r="C729" s="6"/>
      <c r="D729" s="24"/>
      <c r="E729" s="6"/>
      <c r="F729" s="24"/>
      <c r="I729" s="6"/>
      <c r="M729" s="24"/>
    </row>
    <row r="730" spans="3:13" ht="12.75" customHeight="1" x14ac:dyDescent="0.25">
      <c r="C730" s="6"/>
      <c r="D730" s="24"/>
      <c r="E730" s="6"/>
      <c r="F730" s="24"/>
      <c r="I730" s="6"/>
      <c r="M730" s="24"/>
    </row>
    <row r="731" spans="3:13" ht="12.75" customHeight="1" x14ac:dyDescent="0.25">
      <c r="C731" s="6"/>
      <c r="D731" s="24"/>
      <c r="E731" s="6"/>
      <c r="F731" s="24"/>
      <c r="I731" s="6"/>
      <c r="M731" s="24"/>
    </row>
    <row r="732" spans="3:13" ht="12.75" customHeight="1" x14ac:dyDescent="0.25">
      <c r="C732" s="6"/>
      <c r="D732" s="24"/>
      <c r="E732" s="6"/>
      <c r="F732" s="24"/>
      <c r="I732" s="6"/>
      <c r="M732" s="24"/>
    </row>
    <row r="733" spans="3:13" ht="12.75" customHeight="1" x14ac:dyDescent="0.25">
      <c r="C733" s="6"/>
      <c r="D733" s="24"/>
      <c r="E733" s="6"/>
      <c r="F733" s="24"/>
      <c r="I733" s="6"/>
      <c r="M733" s="24"/>
    </row>
    <row r="734" spans="3:13" ht="12.75" customHeight="1" x14ac:dyDescent="0.25">
      <c r="C734" s="6"/>
      <c r="D734" s="24"/>
      <c r="E734" s="6"/>
      <c r="F734" s="24"/>
      <c r="I734" s="6"/>
      <c r="M734" s="24"/>
    </row>
    <row r="735" spans="3:13" ht="12.75" customHeight="1" x14ac:dyDescent="0.25">
      <c r="C735" s="6"/>
      <c r="D735" s="24"/>
      <c r="E735" s="6"/>
      <c r="F735" s="24"/>
      <c r="I735" s="6"/>
      <c r="M735" s="24"/>
    </row>
    <row r="736" spans="3:13" ht="12.75" customHeight="1" x14ac:dyDescent="0.25">
      <c r="C736" s="6"/>
      <c r="D736" s="24"/>
      <c r="E736" s="6"/>
      <c r="F736" s="24"/>
      <c r="I736" s="6"/>
      <c r="M736" s="24"/>
    </row>
    <row r="737" spans="3:13" ht="12.75" customHeight="1" x14ac:dyDescent="0.25">
      <c r="C737" s="6"/>
      <c r="D737" s="24"/>
      <c r="E737" s="6"/>
      <c r="F737" s="24"/>
      <c r="I737" s="6"/>
      <c r="M737" s="24"/>
    </row>
    <row r="738" spans="3:13" ht="12.75" customHeight="1" x14ac:dyDescent="0.25">
      <c r="C738" s="6"/>
      <c r="D738" s="24"/>
      <c r="E738" s="6"/>
      <c r="F738" s="24"/>
      <c r="I738" s="6"/>
      <c r="M738" s="24"/>
    </row>
    <row r="739" spans="3:13" ht="12.75" customHeight="1" x14ac:dyDescent="0.25">
      <c r="C739" s="6"/>
      <c r="D739" s="24"/>
      <c r="E739" s="6"/>
      <c r="F739" s="24"/>
      <c r="I739" s="6"/>
      <c r="M739" s="24"/>
    </row>
    <row r="740" spans="3:13" ht="12.75" customHeight="1" x14ac:dyDescent="0.25">
      <c r="C740" s="6"/>
      <c r="D740" s="24"/>
      <c r="E740" s="6"/>
      <c r="F740" s="24"/>
      <c r="I740" s="6"/>
      <c r="M740" s="24"/>
    </row>
    <row r="741" spans="3:13" ht="12.75" customHeight="1" x14ac:dyDescent="0.25">
      <c r="C741" s="6"/>
      <c r="D741" s="24"/>
      <c r="E741" s="6"/>
      <c r="F741" s="24"/>
      <c r="I741" s="6"/>
      <c r="M741" s="24"/>
    </row>
    <row r="742" spans="3:13" ht="12.75" customHeight="1" x14ac:dyDescent="0.25">
      <c r="C742" s="6"/>
      <c r="D742" s="24"/>
      <c r="E742" s="6"/>
      <c r="F742" s="24"/>
      <c r="I742" s="6"/>
      <c r="M742" s="24"/>
    </row>
    <row r="743" spans="3:13" ht="12.75" customHeight="1" x14ac:dyDescent="0.25">
      <c r="C743" s="6"/>
      <c r="D743" s="24"/>
      <c r="E743" s="6"/>
      <c r="F743" s="24"/>
      <c r="I743" s="6"/>
      <c r="M743" s="24"/>
    </row>
    <row r="744" spans="3:13" ht="12.75" customHeight="1" x14ac:dyDescent="0.25">
      <c r="C744" s="6"/>
      <c r="D744" s="24"/>
      <c r="E744" s="6"/>
      <c r="F744" s="24"/>
      <c r="I744" s="6"/>
      <c r="M744" s="24"/>
    </row>
    <row r="745" spans="3:13" ht="12.75" customHeight="1" x14ac:dyDescent="0.25">
      <c r="C745" s="6"/>
      <c r="D745" s="24"/>
      <c r="E745" s="6"/>
      <c r="F745" s="24"/>
      <c r="I745" s="6"/>
      <c r="M745" s="24"/>
    </row>
    <row r="746" spans="3:13" ht="12.75" customHeight="1" x14ac:dyDescent="0.25">
      <c r="C746" s="6"/>
      <c r="D746" s="24"/>
      <c r="E746" s="6"/>
      <c r="F746" s="24"/>
      <c r="I746" s="6"/>
      <c r="M746" s="24"/>
    </row>
    <row r="747" spans="3:13" ht="12.75" customHeight="1" x14ac:dyDescent="0.25">
      <c r="C747" s="6"/>
      <c r="D747" s="24"/>
      <c r="E747" s="6"/>
      <c r="F747" s="24"/>
      <c r="I747" s="6"/>
      <c r="M747" s="24"/>
    </row>
    <row r="748" spans="3:13" ht="12.75" customHeight="1" x14ac:dyDescent="0.25">
      <c r="C748" s="6"/>
      <c r="D748" s="24"/>
      <c r="E748" s="6"/>
      <c r="F748" s="24"/>
      <c r="I748" s="6"/>
      <c r="M748" s="24"/>
    </row>
    <row r="749" spans="3:13" ht="12.75" customHeight="1" x14ac:dyDescent="0.25">
      <c r="C749" s="6"/>
      <c r="D749" s="24"/>
      <c r="E749" s="6"/>
      <c r="F749" s="24"/>
      <c r="I749" s="6"/>
      <c r="M749" s="24"/>
    </row>
    <row r="750" spans="3:13" ht="12.75" customHeight="1" x14ac:dyDescent="0.25">
      <c r="C750" s="6"/>
      <c r="D750" s="24"/>
      <c r="E750" s="6"/>
      <c r="F750" s="24"/>
      <c r="I750" s="6"/>
      <c r="M750" s="24"/>
    </row>
    <row r="751" spans="3:13" ht="12.75" customHeight="1" x14ac:dyDescent="0.25">
      <c r="C751" s="6"/>
      <c r="D751" s="24"/>
      <c r="E751" s="6"/>
      <c r="F751" s="24"/>
      <c r="I751" s="6"/>
      <c r="M751" s="24"/>
    </row>
    <row r="752" spans="3:13" ht="12.75" customHeight="1" x14ac:dyDescent="0.25">
      <c r="C752" s="6"/>
      <c r="D752" s="24"/>
      <c r="E752" s="6"/>
      <c r="F752" s="24"/>
      <c r="I752" s="6"/>
      <c r="M752" s="24"/>
    </row>
    <row r="753" spans="3:13" ht="12.75" customHeight="1" x14ac:dyDescent="0.25">
      <c r="C753" s="6"/>
      <c r="D753" s="24"/>
      <c r="E753" s="6"/>
      <c r="F753" s="24"/>
      <c r="I753" s="6"/>
      <c r="M753" s="24"/>
    </row>
    <row r="754" spans="3:13" ht="12.75" customHeight="1" x14ac:dyDescent="0.25">
      <c r="C754" s="6"/>
      <c r="D754" s="24"/>
      <c r="E754" s="6"/>
      <c r="F754" s="24"/>
      <c r="I754" s="6"/>
      <c r="M754" s="24"/>
    </row>
    <row r="755" spans="3:13" ht="12.75" customHeight="1" x14ac:dyDescent="0.25">
      <c r="C755" s="6"/>
      <c r="D755" s="24"/>
      <c r="E755" s="6"/>
      <c r="F755" s="24"/>
      <c r="I755" s="6"/>
      <c r="M755" s="24"/>
    </row>
    <row r="756" spans="3:13" ht="12.75" customHeight="1" x14ac:dyDescent="0.25">
      <c r="C756" s="6"/>
      <c r="D756" s="24"/>
      <c r="E756" s="6"/>
      <c r="F756" s="24"/>
      <c r="I756" s="6"/>
      <c r="M756" s="24"/>
    </row>
    <row r="757" spans="3:13" ht="12.75" customHeight="1" x14ac:dyDescent="0.25">
      <c r="C757" s="6"/>
      <c r="D757" s="24"/>
      <c r="E757" s="6"/>
      <c r="F757" s="24"/>
      <c r="I757" s="6"/>
      <c r="M757" s="24"/>
    </row>
    <row r="758" spans="3:13" ht="12.75" customHeight="1" x14ac:dyDescent="0.25">
      <c r="C758" s="6"/>
      <c r="D758" s="24"/>
      <c r="E758" s="6"/>
      <c r="F758" s="24"/>
      <c r="I758" s="6"/>
      <c r="M758" s="24"/>
    </row>
    <row r="759" spans="3:13" ht="12.75" customHeight="1" x14ac:dyDescent="0.25">
      <c r="C759" s="6"/>
      <c r="D759" s="24"/>
      <c r="E759" s="6"/>
      <c r="F759" s="24"/>
      <c r="I759" s="6"/>
      <c r="M759" s="24"/>
    </row>
    <row r="760" spans="3:13" ht="12.75" customHeight="1" x14ac:dyDescent="0.25">
      <c r="C760" s="6"/>
      <c r="D760" s="24"/>
      <c r="E760" s="6"/>
      <c r="F760" s="24"/>
      <c r="I760" s="6"/>
      <c r="M760" s="24"/>
    </row>
    <row r="761" spans="3:13" ht="12.75" customHeight="1" x14ac:dyDescent="0.25">
      <c r="C761" s="6"/>
      <c r="D761" s="24"/>
      <c r="E761" s="6"/>
      <c r="F761" s="24"/>
      <c r="I761" s="6"/>
      <c r="M761" s="24"/>
    </row>
    <row r="762" spans="3:13" ht="12.75" customHeight="1" x14ac:dyDescent="0.25">
      <c r="C762" s="6"/>
      <c r="D762" s="24"/>
      <c r="E762" s="6"/>
      <c r="F762" s="24"/>
      <c r="I762" s="6"/>
      <c r="M762" s="24"/>
    </row>
    <row r="763" spans="3:13" ht="12.75" customHeight="1" x14ac:dyDescent="0.25">
      <c r="C763" s="6"/>
      <c r="D763" s="24"/>
      <c r="E763" s="6"/>
      <c r="F763" s="24"/>
      <c r="I763" s="6"/>
      <c r="M763" s="24"/>
    </row>
    <row r="764" spans="3:13" ht="12.75" customHeight="1" x14ac:dyDescent="0.25">
      <c r="C764" s="6"/>
      <c r="D764" s="24"/>
      <c r="E764" s="6"/>
      <c r="F764" s="24"/>
      <c r="I764" s="6"/>
      <c r="M764" s="24"/>
    </row>
    <row r="765" spans="3:13" ht="12.75" customHeight="1" x14ac:dyDescent="0.25">
      <c r="C765" s="6"/>
      <c r="D765" s="24"/>
      <c r="E765" s="6"/>
      <c r="F765" s="24"/>
      <c r="I765" s="6"/>
      <c r="M765" s="24"/>
    </row>
    <row r="766" spans="3:13" ht="12.75" customHeight="1" x14ac:dyDescent="0.25">
      <c r="C766" s="6"/>
      <c r="D766" s="24"/>
      <c r="E766" s="6"/>
      <c r="F766" s="24"/>
      <c r="I766" s="6"/>
      <c r="M766" s="24"/>
    </row>
    <row r="767" spans="3:13" ht="12.75" customHeight="1" x14ac:dyDescent="0.25">
      <c r="C767" s="6"/>
      <c r="D767" s="24"/>
      <c r="E767" s="6"/>
      <c r="F767" s="24"/>
      <c r="I767" s="6"/>
      <c r="M767" s="24"/>
    </row>
    <row r="768" spans="3:13" ht="12.75" customHeight="1" x14ac:dyDescent="0.25">
      <c r="C768" s="6"/>
      <c r="D768" s="24"/>
      <c r="E768" s="6"/>
      <c r="F768" s="24"/>
      <c r="I768" s="6"/>
      <c r="M768" s="24"/>
    </row>
    <row r="769" spans="3:13" ht="12.75" customHeight="1" x14ac:dyDescent="0.25">
      <c r="C769" s="6"/>
      <c r="D769" s="24"/>
      <c r="E769" s="6"/>
      <c r="F769" s="24"/>
      <c r="I769" s="6"/>
      <c r="M769" s="24"/>
    </row>
    <row r="770" spans="3:13" ht="12.75" customHeight="1" x14ac:dyDescent="0.25">
      <c r="C770" s="6"/>
      <c r="D770" s="24"/>
      <c r="E770" s="6"/>
      <c r="F770" s="24"/>
      <c r="I770" s="6"/>
      <c r="M770" s="24"/>
    </row>
    <row r="771" spans="3:13" ht="12.75" customHeight="1" x14ac:dyDescent="0.25">
      <c r="C771" s="6"/>
      <c r="D771" s="24"/>
      <c r="E771" s="6"/>
      <c r="F771" s="24"/>
      <c r="I771" s="6"/>
      <c r="M771" s="24"/>
    </row>
    <row r="772" spans="3:13" ht="12.75" customHeight="1" x14ac:dyDescent="0.25">
      <c r="C772" s="6"/>
      <c r="D772" s="24"/>
      <c r="E772" s="6"/>
      <c r="F772" s="24"/>
      <c r="I772" s="6"/>
      <c r="M772" s="24"/>
    </row>
    <row r="773" spans="3:13" ht="12.75" customHeight="1" x14ac:dyDescent="0.25">
      <c r="C773" s="6"/>
      <c r="D773" s="24"/>
      <c r="E773" s="6"/>
      <c r="F773" s="24"/>
      <c r="I773" s="6"/>
      <c r="M773" s="24"/>
    </row>
    <row r="774" spans="3:13" ht="12.75" customHeight="1" x14ac:dyDescent="0.25">
      <c r="C774" s="6"/>
      <c r="D774" s="24"/>
      <c r="E774" s="6"/>
      <c r="F774" s="24"/>
      <c r="I774" s="6"/>
      <c r="M774" s="24"/>
    </row>
    <row r="775" spans="3:13" ht="12.75" customHeight="1" x14ac:dyDescent="0.25">
      <c r="C775" s="6"/>
      <c r="D775" s="24"/>
      <c r="E775" s="6"/>
      <c r="F775" s="24"/>
      <c r="I775" s="6"/>
      <c r="M775" s="24"/>
    </row>
    <row r="776" spans="3:13" ht="12.75" customHeight="1" x14ac:dyDescent="0.25">
      <c r="C776" s="6"/>
      <c r="D776" s="24"/>
      <c r="E776" s="6"/>
      <c r="F776" s="24"/>
      <c r="I776" s="6"/>
      <c r="M776" s="24"/>
    </row>
    <row r="777" spans="3:13" ht="12.75" customHeight="1" x14ac:dyDescent="0.25">
      <c r="C777" s="6"/>
      <c r="D777" s="24"/>
      <c r="E777" s="6"/>
      <c r="F777" s="24"/>
      <c r="I777" s="6"/>
      <c r="M777" s="24"/>
    </row>
    <row r="778" spans="3:13" ht="12.75" customHeight="1" x14ac:dyDescent="0.25">
      <c r="C778" s="6"/>
      <c r="D778" s="24"/>
      <c r="E778" s="6"/>
      <c r="F778" s="24"/>
      <c r="I778" s="6"/>
      <c r="M778" s="24"/>
    </row>
    <row r="779" spans="3:13" ht="12.75" customHeight="1" x14ac:dyDescent="0.25">
      <c r="C779" s="6"/>
      <c r="D779" s="24"/>
      <c r="E779" s="6"/>
      <c r="F779" s="24"/>
      <c r="I779" s="6"/>
      <c r="M779" s="24"/>
    </row>
    <row r="780" spans="3:13" ht="12.75" customHeight="1" x14ac:dyDescent="0.25">
      <c r="C780" s="6"/>
      <c r="D780" s="24"/>
      <c r="E780" s="6"/>
      <c r="F780" s="24"/>
      <c r="I780" s="6"/>
      <c r="M780" s="24"/>
    </row>
    <row r="781" spans="3:13" ht="12.75" customHeight="1" x14ac:dyDescent="0.25">
      <c r="C781" s="6"/>
      <c r="D781" s="24"/>
      <c r="E781" s="6"/>
      <c r="F781" s="24"/>
      <c r="I781" s="6"/>
      <c r="M781" s="24"/>
    </row>
    <row r="782" spans="3:13" ht="12.75" customHeight="1" x14ac:dyDescent="0.25">
      <c r="C782" s="6"/>
      <c r="D782" s="24"/>
      <c r="E782" s="6"/>
      <c r="F782" s="24"/>
      <c r="I782" s="6"/>
      <c r="M782" s="24"/>
    </row>
    <row r="783" spans="3:13" ht="12.75" customHeight="1" x14ac:dyDescent="0.25">
      <c r="C783" s="6"/>
      <c r="D783" s="24"/>
      <c r="E783" s="6"/>
      <c r="F783" s="24"/>
      <c r="I783" s="6"/>
      <c r="M783" s="24"/>
    </row>
    <row r="784" spans="3:13" ht="12.75" customHeight="1" x14ac:dyDescent="0.25">
      <c r="C784" s="6"/>
      <c r="D784" s="24"/>
      <c r="E784" s="6"/>
      <c r="F784" s="24"/>
      <c r="I784" s="6"/>
      <c r="M784" s="24"/>
    </row>
    <row r="785" spans="3:13" ht="12.75" customHeight="1" x14ac:dyDescent="0.25">
      <c r="C785" s="6"/>
      <c r="D785" s="24"/>
      <c r="E785" s="6"/>
      <c r="F785" s="24"/>
      <c r="I785" s="6"/>
      <c r="M785" s="24"/>
    </row>
    <row r="786" spans="3:13" ht="12.75" customHeight="1" x14ac:dyDescent="0.25">
      <c r="C786" s="6"/>
      <c r="D786" s="24"/>
      <c r="E786" s="6"/>
      <c r="F786" s="24"/>
      <c r="I786" s="6"/>
      <c r="M786" s="24"/>
    </row>
    <row r="787" spans="3:13" ht="12.75" customHeight="1" x14ac:dyDescent="0.25">
      <c r="C787" s="6"/>
      <c r="D787" s="24"/>
      <c r="E787" s="6"/>
      <c r="F787" s="24"/>
      <c r="I787" s="6"/>
      <c r="M787" s="24"/>
    </row>
    <row r="788" spans="3:13" ht="12.75" customHeight="1" x14ac:dyDescent="0.25">
      <c r="C788" s="6"/>
      <c r="D788" s="24"/>
      <c r="E788" s="6"/>
      <c r="F788" s="24"/>
      <c r="I788" s="6"/>
      <c r="M788" s="24"/>
    </row>
    <row r="789" spans="3:13" ht="12.75" customHeight="1" x14ac:dyDescent="0.25">
      <c r="C789" s="6"/>
      <c r="D789" s="24"/>
      <c r="E789" s="6"/>
      <c r="F789" s="24"/>
      <c r="I789" s="6"/>
      <c r="M789" s="24"/>
    </row>
    <row r="790" spans="3:13" ht="12.75" customHeight="1" x14ac:dyDescent="0.25">
      <c r="C790" s="6"/>
      <c r="D790" s="24"/>
      <c r="E790" s="6"/>
      <c r="F790" s="24"/>
      <c r="I790" s="6"/>
      <c r="M790" s="24"/>
    </row>
    <row r="791" spans="3:13" ht="12.75" customHeight="1" x14ac:dyDescent="0.25">
      <c r="C791" s="6"/>
      <c r="D791" s="24"/>
      <c r="E791" s="6"/>
      <c r="F791" s="24"/>
      <c r="I791" s="6"/>
      <c r="M791" s="24"/>
    </row>
    <row r="792" spans="3:13" ht="12.75" customHeight="1" x14ac:dyDescent="0.25">
      <c r="C792" s="6"/>
      <c r="D792" s="24"/>
      <c r="E792" s="6"/>
      <c r="F792" s="24"/>
      <c r="I792" s="6"/>
      <c r="M792" s="24"/>
    </row>
    <row r="793" spans="3:13" ht="12.75" customHeight="1" x14ac:dyDescent="0.25">
      <c r="C793" s="6"/>
      <c r="D793" s="24"/>
      <c r="E793" s="6"/>
      <c r="F793" s="24"/>
      <c r="I793" s="6"/>
      <c r="M793" s="24"/>
    </row>
    <row r="794" spans="3:13" ht="12.75" customHeight="1" x14ac:dyDescent="0.25">
      <c r="C794" s="6"/>
      <c r="D794" s="24"/>
      <c r="E794" s="6"/>
      <c r="F794" s="24"/>
      <c r="I794" s="6"/>
      <c r="M794" s="24"/>
    </row>
    <row r="795" spans="3:13" ht="12.75" customHeight="1" x14ac:dyDescent="0.25">
      <c r="C795" s="6"/>
      <c r="D795" s="24"/>
      <c r="E795" s="6"/>
      <c r="F795" s="24"/>
      <c r="I795" s="6"/>
      <c r="M795" s="24"/>
    </row>
    <row r="796" spans="3:13" ht="12.75" customHeight="1" x14ac:dyDescent="0.25">
      <c r="C796" s="6"/>
      <c r="D796" s="24"/>
      <c r="E796" s="6"/>
      <c r="F796" s="24"/>
      <c r="I796" s="6"/>
      <c r="M796" s="24"/>
    </row>
    <row r="797" spans="3:13" ht="12.75" customHeight="1" x14ac:dyDescent="0.25">
      <c r="C797" s="6"/>
      <c r="D797" s="24"/>
      <c r="E797" s="6"/>
      <c r="F797" s="24"/>
      <c r="I797" s="6"/>
      <c r="M797" s="24"/>
    </row>
    <row r="798" spans="3:13" ht="12.75" customHeight="1" x14ac:dyDescent="0.25">
      <c r="C798" s="6"/>
      <c r="D798" s="24"/>
      <c r="E798" s="6"/>
      <c r="F798" s="24"/>
      <c r="I798" s="6"/>
      <c r="M798" s="24"/>
    </row>
    <row r="799" spans="3:13" ht="12.75" customHeight="1" x14ac:dyDescent="0.25">
      <c r="C799" s="6"/>
      <c r="D799" s="24"/>
      <c r="E799" s="6"/>
      <c r="F799" s="24"/>
      <c r="I799" s="6"/>
      <c r="M799" s="24"/>
    </row>
    <row r="800" spans="3:13" ht="12.75" customHeight="1" x14ac:dyDescent="0.25">
      <c r="C800" s="6"/>
      <c r="D800" s="24"/>
      <c r="E800" s="6"/>
      <c r="F800" s="24"/>
      <c r="I800" s="6"/>
      <c r="M800" s="24"/>
    </row>
    <row r="801" spans="3:13" ht="12.75" customHeight="1" x14ac:dyDescent="0.25">
      <c r="C801" s="6"/>
      <c r="D801" s="24"/>
      <c r="E801" s="6"/>
      <c r="F801" s="24"/>
      <c r="I801" s="6"/>
      <c r="M801" s="24"/>
    </row>
    <row r="802" spans="3:13" ht="12.75" customHeight="1" x14ac:dyDescent="0.25">
      <c r="C802" s="6"/>
      <c r="D802" s="24"/>
      <c r="E802" s="6"/>
      <c r="F802" s="24"/>
      <c r="I802" s="6"/>
      <c r="M802" s="24"/>
    </row>
    <row r="803" spans="3:13" ht="12.75" customHeight="1" x14ac:dyDescent="0.25">
      <c r="C803" s="6"/>
      <c r="D803" s="24"/>
      <c r="E803" s="6"/>
      <c r="F803" s="24"/>
      <c r="I803" s="6"/>
      <c r="M803" s="24"/>
    </row>
    <row r="804" spans="3:13" ht="12.75" customHeight="1" x14ac:dyDescent="0.25">
      <c r="C804" s="6"/>
      <c r="D804" s="24"/>
      <c r="E804" s="6"/>
      <c r="F804" s="24"/>
      <c r="I804" s="6"/>
      <c r="M804" s="24"/>
    </row>
    <row r="805" spans="3:13" ht="12.75" customHeight="1" x14ac:dyDescent="0.25">
      <c r="C805" s="6"/>
      <c r="D805" s="24"/>
      <c r="E805" s="6"/>
      <c r="F805" s="24"/>
      <c r="I805" s="6"/>
      <c r="M805" s="24"/>
    </row>
    <row r="806" spans="3:13" ht="12.75" customHeight="1" x14ac:dyDescent="0.25">
      <c r="C806" s="6"/>
      <c r="D806" s="24"/>
      <c r="E806" s="6"/>
      <c r="F806" s="24"/>
      <c r="I806" s="6"/>
      <c r="M806" s="24"/>
    </row>
    <row r="807" spans="3:13" ht="12.75" customHeight="1" x14ac:dyDescent="0.25">
      <c r="C807" s="6"/>
      <c r="D807" s="24"/>
      <c r="E807" s="6"/>
      <c r="F807" s="24"/>
      <c r="I807" s="6"/>
      <c r="M807" s="24"/>
    </row>
    <row r="808" spans="3:13" ht="12.75" customHeight="1" x14ac:dyDescent="0.25">
      <c r="C808" s="6"/>
      <c r="D808" s="24"/>
      <c r="E808" s="6"/>
      <c r="F808" s="24"/>
      <c r="I808" s="6"/>
      <c r="M808" s="24"/>
    </row>
    <row r="809" spans="3:13" ht="12.75" customHeight="1" x14ac:dyDescent="0.25">
      <c r="C809" s="6"/>
      <c r="D809" s="24"/>
      <c r="E809" s="6"/>
      <c r="F809" s="24"/>
      <c r="I809" s="6"/>
      <c r="M809" s="24"/>
    </row>
    <row r="810" spans="3:13" ht="12.75" customHeight="1" x14ac:dyDescent="0.25">
      <c r="C810" s="6"/>
      <c r="D810" s="24"/>
      <c r="E810" s="6"/>
      <c r="F810" s="24"/>
      <c r="I810" s="6"/>
      <c r="M810" s="24"/>
    </row>
    <row r="811" spans="3:13" ht="12.75" customHeight="1" x14ac:dyDescent="0.25">
      <c r="C811" s="6"/>
      <c r="D811" s="24"/>
      <c r="E811" s="6"/>
      <c r="F811" s="24"/>
      <c r="I811" s="6"/>
      <c r="M811" s="24"/>
    </row>
    <row r="812" spans="3:13" ht="12.75" customHeight="1" x14ac:dyDescent="0.25">
      <c r="C812" s="6"/>
      <c r="D812" s="24"/>
      <c r="E812" s="6"/>
      <c r="F812" s="24"/>
      <c r="I812" s="6"/>
      <c r="M812" s="24"/>
    </row>
    <row r="813" spans="3:13" ht="12.75" customHeight="1" x14ac:dyDescent="0.25">
      <c r="C813" s="6"/>
      <c r="D813" s="24"/>
      <c r="E813" s="6"/>
      <c r="F813" s="24"/>
      <c r="I813" s="6"/>
      <c r="M813" s="24"/>
    </row>
    <row r="814" spans="3:13" ht="12.75" customHeight="1" x14ac:dyDescent="0.25">
      <c r="C814" s="6"/>
      <c r="D814" s="24"/>
      <c r="E814" s="6"/>
      <c r="F814" s="24"/>
      <c r="I814" s="6"/>
      <c r="M814" s="24"/>
    </row>
    <row r="815" spans="3:13" ht="12.75" customHeight="1" x14ac:dyDescent="0.25">
      <c r="C815" s="6"/>
      <c r="D815" s="24"/>
      <c r="E815" s="6"/>
      <c r="F815" s="24"/>
      <c r="I815" s="6"/>
      <c r="M815" s="24"/>
    </row>
    <row r="816" spans="3:13" ht="12.75" customHeight="1" x14ac:dyDescent="0.25">
      <c r="C816" s="6"/>
      <c r="D816" s="24"/>
      <c r="E816" s="6"/>
      <c r="F816" s="24"/>
      <c r="I816" s="6"/>
      <c r="M816" s="24"/>
    </row>
    <row r="817" spans="3:13" ht="12.75" customHeight="1" x14ac:dyDescent="0.25">
      <c r="C817" s="6"/>
      <c r="D817" s="24"/>
      <c r="E817" s="6"/>
      <c r="F817" s="24"/>
      <c r="I817" s="6"/>
      <c r="M817" s="24"/>
    </row>
    <row r="818" spans="3:13" ht="12.75" customHeight="1" x14ac:dyDescent="0.25">
      <c r="C818" s="6"/>
      <c r="D818" s="24"/>
      <c r="E818" s="6"/>
      <c r="F818" s="24"/>
      <c r="I818" s="6"/>
      <c r="M818" s="24"/>
    </row>
    <row r="819" spans="3:13" ht="12.75" customHeight="1" x14ac:dyDescent="0.25">
      <c r="C819" s="6"/>
      <c r="D819" s="24"/>
      <c r="E819" s="6"/>
      <c r="F819" s="24"/>
      <c r="I819" s="6"/>
      <c r="M819" s="24"/>
    </row>
    <row r="820" spans="3:13" ht="12.75" customHeight="1" x14ac:dyDescent="0.25">
      <c r="C820" s="6"/>
      <c r="D820" s="24"/>
      <c r="E820" s="6"/>
      <c r="F820" s="24"/>
      <c r="I820" s="6"/>
      <c r="M820" s="24"/>
    </row>
    <row r="821" spans="3:13" ht="12.75" customHeight="1" x14ac:dyDescent="0.25">
      <c r="C821" s="6"/>
      <c r="D821" s="24"/>
      <c r="E821" s="6"/>
      <c r="F821" s="24"/>
      <c r="I821" s="6"/>
      <c r="M821" s="24"/>
    </row>
    <row r="822" spans="3:13" ht="12.75" customHeight="1" x14ac:dyDescent="0.25">
      <c r="C822" s="6"/>
      <c r="D822" s="24"/>
      <c r="E822" s="6"/>
      <c r="F822" s="24"/>
      <c r="I822" s="6"/>
      <c r="M822" s="24"/>
    </row>
    <row r="823" spans="3:13" ht="12.75" customHeight="1" x14ac:dyDescent="0.25">
      <c r="C823" s="6"/>
      <c r="D823" s="24"/>
      <c r="E823" s="6"/>
      <c r="F823" s="24"/>
      <c r="I823" s="6"/>
      <c r="M823" s="24"/>
    </row>
    <row r="824" spans="3:13" ht="12.75" customHeight="1" x14ac:dyDescent="0.25">
      <c r="C824" s="6"/>
      <c r="D824" s="24"/>
      <c r="E824" s="6"/>
      <c r="F824" s="24"/>
      <c r="I824" s="6"/>
      <c r="M824" s="24"/>
    </row>
    <row r="825" spans="3:13" ht="12.75" customHeight="1" x14ac:dyDescent="0.25">
      <c r="C825" s="6"/>
      <c r="D825" s="24"/>
      <c r="E825" s="6"/>
      <c r="F825" s="24"/>
      <c r="I825" s="6"/>
      <c r="M825" s="24"/>
    </row>
    <row r="826" spans="3:13" ht="12.75" customHeight="1" x14ac:dyDescent="0.25">
      <c r="C826" s="6"/>
      <c r="D826" s="24"/>
      <c r="E826" s="6"/>
      <c r="F826" s="24"/>
      <c r="I826" s="6"/>
      <c r="M826" s="24"/>
    </row>
    <row r="827" spans="3:13" ht="12.75" customHeight="1" x14ac:dyDescent="0.25">
      <c r="C827" s="6"/>
      <c r="D827" s="24"/>
      <c r="E827" s="6"/>
      <c r="F827" s="24"/>
      <c r="I827" s="6"/>
      <c r="M827" s="24"/>
    </row>
    <row r="828" spans="3:13" ht="12.75" customHeight="1" x14ac:dyDescent="0.25">
      <c r="C828" s="6"/>
      <c r="D828" s="24"/>
      <c r="E828" s="6"/>
      <c r="F828" s="24"/>
      <c r="I828" s="6"/>
      <c r="M828" s="24"/>
    </row>
    <row r="829" spans="3:13" ht="12.75" customHeight="1" x14ac:dyDescent="0.25">
      <c r="C829" s="6"/>
      <c r="D829" s="24"/>
      <c r="E829" s="6"/>
      <c r="F829" s="24"/>
      <c r="I829" s="6"/>
      <c r="M829" s="24"/>
    </row>
    <row r="830" spans="3:13" ht="12.75" customHeight="1" x14ac:dyDescent="0.25">
      <c r="C830" s="6"/>
      <c r="D830" s="24"/>
      <c r="E830" s="6"/>
      <c r="F830" s="24"/>
      <c r="I830" s="6"/>
      <c r="M830" s="24"/>
    </row>
    <row r="831" spans="3:13" ht="12.75" customHeight="1" x14ac:dyDescent="0.25">
      <c r="C831" s="6"/>
      <c r="D831" s="24"/>
      <c r="E831" s="6"/>
      <c r="F831" s="24"/>
      <c r="I831" s="6"/>
      <c r="M831" s="24"/>
    </row>
    <row r="832" spans="3:13" ht="12.75" customHeight="1" x14ac:dyDescent="0.25">
      <c r="C832" s="6"/>
      <c r="D832" s="24"/>
      <c r="E832" s="6"/>
      <c r="F832" s="24"/>
      <c r="I832" s="6"/>
      <c r="M832" s="24"/>
    </row>
    <row r="833" spans="3:13" ht="12.75" customHeight="1" x14ac:dyDescent="0.25">
      <c r="C833" s="6"/>
      <c r="D833" s="24"/>
      <c r="E833" s="6"/>
      <c r="F833" s="24"/>
      <c r="I833" s="6"/>
      <c r="M833" s="24"/>
    </row>
    <row r="834" spans="3:13" ht="12.75" customHeight="1" x14ac:dyDescent="0.25">
      <c r="C834" s="6"/>
      <c r="D834" s="24"/>
      <c r="E834" s="6"/>
      <c r="F834" s="24"/>
      <c r="I834" s="6"/>
      <c r="M834" s="24"/>
    </row>
    <row r="835" spans="3:13" ht="12.75" customHeight="1" x14ac:dyDescent="0.25">
      <c r="C835" s="6"/>
      <c r="D835" s="24"/>
      <c r="E835" s="6"/>
      <c r="F835" s="24"/>
      <c r="I835" s="6"/>
      <c r="M835" s="24"/>
    </row>
    <row r="836" spans="3:13" ht="12.75" customHeight="1" x14ac:dyDescent="0.25">
      <c r="C836" s="6"/>
      <c r="D836" s="24"/>
      <c r="E836" s="6"/>
      <c r="F836" s="24"/>
      <c r="I836" s="6"/>
      <c r="M836" s="24"/>
    </row>
    <row r="837" spans="3:13" ht="12.75" customHeight="1" x14ac:dyDescent="0.25">
      <c r="C837" s="6"/>
      <c r="D837" s="24"/>
      <c r="E837" s="6"/>
      <c r="F837" s="24"/>
      <c r="I837" s="6"/>
      <c r="M837" s="24"/>
    </row>
    <row r="838" spans="3:13" ht="12.75" customHeight="1" x14ac:dyDescent="0.25">
      <c r="C838" s="6"/>
      <c r="D838" s="24"/>
      <c r="E838" s="6"/>
      <c r="F838" s="24"/>
      <c r="I838" s="6"/>
      <c r="M838" s="24"/>
    </row>
    <row r="839" spans="3:13" ht="12.75" customHeight="1" x14ac:dyDescent="0.25">
      <c r="C839" s="6"/>
      <c r="D839" s="24"/>
      <c r="E839" s="6"/>
      <c r="F839" s="24"/>
      <c r="I839" s="6"/>
      <c r="M839" s="24"/>
    </row>
    <row r="840" spans="3:13" ht="12.75" customHeight="1" x14ac:dyDescent="0.25">
      <c r="C840" s="6"/>
      <c r="D840" s="24"/>
      <c r="E840" s="6"/>
      <c r="F840" s="24"/>
      <c r="I840" s="6"/>
      <c r="M840" s="24"/>
    </row>
    <row r="841" spans="3:13" ht="12.75" customHeight="1" x14ac:dyDescent="0.25">
      <c r="C841" s="6"/>
      <c r="D841" s="24"/>
      <c r="E841" s="6"/>
      <c r="F841" s="24"/>
      <c r="I841" s="6"/>
      <c r="M841" s="24"/>
    </row>
    <row r="842" spans="3:13" ht="12.75" customHeight="1" x14ac:dyDescent="0.25">
      <c r="C842" s="6"/>
      <c r="D842" s="24"/>
      <c r="E842" s="6"/>
      <c r="F842" s="24"/>
      <c r="I842" s="6"/>
      <c r="M842" s="24"/>
    </row>
    <row r="843" spans="3:13" ht="12.75" customHeight="1" x14ac:dyDescent="0.25">
      <c r="C843" s="6"/>
      <c r="D843" s="24"/>
      <c r="E843" s="6"/>
      <c r="F843" s="24"/>
      <c r="I843" s="6"/>
      <c r="M843" s="24"/>
    </row>
    <row r="844" spans="3:13" ht="12.75" customHeight="1" x14ac:dyDescent="0.25">
      <c r="C844" s="6"/>
      <c r="D844" s="24"/>
      <c r="E844" s="6"/>
      <c r="F844" s="24"/>
      <c r="I844" s="6"/>
      <c r="M844" s="24"/>
    </row>
    <row r="845" spans="3:13" ht="12.75" customHeight="1" x14ac:dyDescent="0.25">
      <c r="C845" s="6"/>
      <c r="D845" s="24"/>
      <c r="E845" s="6"/>
      <c r="F845" s="24"/>
      <c r="I845" s="6"/>
      <c r="M845" s="24"/>
    </row>
    <row r="846" spans="3:13" ht="12.75" customHeight="1" x14ac:dyDescent="0.25">
      <c r="C846" s="6"/>
      <c r="D846" s="24"/>
      <c r="E846" s="6"/>
      <c r="F846" s="24"/>
      <c r="I846" s="6"/>
      <c r="M846" s="24"/>
    </row>
    <row r="847" spans="3:13" ht="12.75" customHeight="1" x14ac:dyDescent="0.25">
      <c r="C847" s="6"/>
      <c r="D847" s="24"/>
      <c r="E847" s="6"/>
      <c r="F847" s="24"/>
      <c r="I847" s="6"/>
      <c r="M847" s="24"/>
    </row>
    <row r="848" spans="3:13" ht="12.75" customHeight="1" x14ac:dyDescent="0.25">
      <c r="C848" s="6"/>
      <c r="D848" s="24"/>
      <c r="E848" s="6"/>
      <c r="F848" s="24"/>
      <c r="I848" s="6"/>
      <c r="M848" s="24"/>
    </row>
    <row r="849" spans="3:13" ht="12.75" customHeight="1" x14ac:dyDescent="0.25">
      <c r="C849" s="6"/>
      <c r="D849" s="24"/>
      <c r="E849" s="6"/>
      <c r="F849" s="24"/>
      <c r="I849" s="6"/>
      <c r="M849" s="24"/>
    </row>
    <row r="850" spans="3:13" ht="12.75" customHeight="1" x14ac:dyDescent="0.25">
      <c r="C850" s="6"/>
      <c r="D850" s="24"/>
      <c r="E850" s="6"/>
      <c r="F850" s="24"/>
      <c r="I850" s="6"/>
      <c r="M850" s="24"/>
    </row>
    <row r="851" spans="3:13" ht="12.75" customHeight="1" x14ac:dyDescent="0.25">
      <c r="C851" s="6"/>
      <c r="D851" s="24"/>
      <c r="E851" s="6"/>
      <c r="F851" s="24"/>
      <c r="I851" s="6"/>
      <c r="M851" s="24"/>
    </row>
    <row r="852" spans="3:13" ht="12.75" customHeight="1" x14ac:dyDescent="0.25">
      <c r="C852" s="6"/>
      <c r="D852" s="24"/>
      <c r="E852" s="6"/>
      <c r="F852" s="24"/>
      <c r="I852" s="6"/>
      <c r="M852" s="24"/>
    </row>
    <row r="853" spans="3:13" ht="12.75" customHeight="1" x14ac:dyDescent="0.25">
      <c r="C853" s="6"/>
      <c r="D853" s="24"/>
      <c r="E853" s="6"/>
      <c r="F853" s="24"/>
      <c r="I853" s="6"/>
      <c r="M853" s="24"/>
    </row>
    <row r="854" spans="3:13" ht="12.75" customHeight="1" x14ac:dyDescent="0.25">
      <c r="C854" s="6"/>
      <c r="D854" s="24"/>
      <c r="E854" s="6"/>
      <c r="F854" s="24"/>
      <c r="I854" s="6"/>
      <c r="M854" s="24"/>
    </row>
    <row r="855" spans="3:13" ht="12.75" customHeight="1" x14ac:dyDescent="0.25">
      <c r="C855" s="6"/>
      <c r="D855" s="24"/>
      <c r="E855" s="6"/>
      <c r="F855" s="24"/>
      <c r="I855" s="6"/>
      <c r="M855" s="24"/>
    </row>
    <row r="856" spans="3:13" ht="12.75" customHeight="1" x14ac:dyDescent="0.25">
      <c r="C856" s="6"/>
      <c r="D856" s="24"/>
      <c r="E856" s="6"/>
      <c r="F856" s="24"/>
      <c r="I856" s="6"/>
      <c r="M856" s="24"/>
    </row>
    <row r="857" spans="3:13" ht="12.75" customHeight="1" x14ac:dyDescent="0.25">
      <c r="C857" s="6"/>
      <c r="D857" s="24"/>
      <c r="E857" s="6"/>
      <c r="F857" s="24"/>
      <c r="I857" s="6"/>
      <c r="M857" s="24"/>
    </row>
    <row r="858" spans="3:13" ht="12.75" customHeight="1" x14ac:dyDescent="0.25">
      <c r="C858" s="6"/>
      <c r="D858" s="24"/>
      <c r="E858" s="6"/>
      <c r="F858" s="24"/>
      <c r="I858" s="6"/>
      <c r="M858" s="24"/>
    </row>
    <row r="859" spans="3:13" ht="12.75" customHeight="1" x14ac:dyDescent="0.25">
      <c r="C859" s="6"/>
      <c r="D859" s="24"/>
      <c r="E859" s="6"/>
      <c r="F859" s="24"/>
      <c r="I859" s="6"/>
      <c r="M859" s="24"/>
    </row>
    <row r="860" spans="3:13" ht="12.75" customHeight="1" x14ac:dyDescent="0.25">
      <c r="C860" s="6"/>
      <c r="D860" s="24"/>
      <c r="E860" s="6"/>
      <c r="F860" s="24"/>
      <c r="I860" s="6"/>
      <c r="M860" s="24"/>
    </row>
    <row r="861" spans="3:13" ht="12.75" customHeight="1" x14ac:dyDescent="0.25">
      <c r="C861" s="6"/>
      <c r="D861" s="24"/>
      <c r="E861" s="6"/>
      <c r="F861" s="24"/>
      <c r="I861" s="6"/>
      <c r="M861" s="24"/>
    </row>
    <row r="862" spans="3:13" ht="12.75" customHeight="1" x14ac:dyDescent="0.25">
      <c r="C862" s="6"/>
      <c r="D862" s="24"/>
      <c r="E862" s="6"/>
      <c r="F862" s="24"/>
      <c r="I862" s="6"/>
      <c r="M862" s="24"/>
    </row>
    <row r="863" spans="3:13" ht="12.75" customHeight="1" x14ac:dyDescent="0.25">
      <c r="C863" s="6"/>
      <c r="D863" s="24"/>
      <c r="E863" s="6"/>
      <c r="F863" s="24"/>
      <c r="I863" s="6"/>
      <c r="M863" s="24"/>
    </row>
    <row r="864" spans="3:13" ht="12.75" customHeight="1" x14ac:dyDescent="0.25">
      <c r="C864" s="6"/>
      <c r="D864" s="24"/>
      <c r="E864" s="6"/>
      <c r="F864" s="24"/>
      <c r="I864" s="6"/>
      <c r="M864" s="24"/>
    </row>
    <row r="865" spans="3:13" ht="12.75" customHeight="1" x14ac:dyDescent="0.25">
      <c r="C865" s="6"/>
      <c r="D865" s="24"/>
      <c r="E865" s="6"/>
      <c r="F865" s="24"/>
      <c r="I865" s="6"/>
      <c r="M865" s="24"/>
    </row>
    <row r="866" spans="3:13" ht="12.75" customHeight="1" x14ac:dyDescent="0.25">
      <c r="C866" s="6"/>
      <c r="D866" s="24"/>
      <c r="E866" s="6"/>
      <c r="F866" s="24"/>
      <c r="I866" s="6"/>
      <c r="M866" s="24"/>
    </row>
    <row r="867" spans="3:13" ht="12.75" customHeight="1" x14ac:dyDescent="0.25">
      <c r="C867" s="6"/>
      <c r="D867" s="24"/>
      <c r="E867" s="6"/>
      <c r="F867" s="24"/>
      <c r="I867" s="6"/>
      <c r="M867" s="24"/>
    </row>
    <row r="868" spans="3:13" ht="12.75" customHeight="1" x14ac:dyDescent="0.25">
      <c r="C868" s="6"/>
      <c r="D868" s="24"/>
      <c r="E868" s="6"/>
      <c r="F868" s="24"/>
      <c r="I868" s="6"/>
      <c r="M868" s="24"/>
    </row>
    <row r="869" spans="3:13" ht="12.75" customHeight="1" x14ac:dyDescent="0.25">
      <c r="C869" s="6"/>
      <c r="D869" s="24"/>
      <c r="E869" s="6"/>
      <c r="F869" s="24"/>
      <c r="I869" s="6"/>
      <c r="M869" s="24"/>
    </row>
    <row r="870" spans="3:13" ht="12.75" customHeight="1" x14ac:dyDescent="0.25">
      <c r="C870" s="6"/>
      <c r="D870" s="24"/>
      <c r="E870" s="6"/>
      <c r="F870" s="24"/>
      <c r="I870" s="6"/>
      <c r="M870" s="24"/>
    </row>
    <row r="871" spans="3:13" ht="12.75" customHeight="1" x14ac:dyDescent="0.25">
      <c r="C871" s="6"/>
      <c r="D871" s="24"/>
      <c r="E871" s="6"/>
      <c r="F871" s="24"/>
      <c r="I871" s="6"/>
      <c r="M871" s="24"/>
    </row>
    <row r="872" spans="3:13" ht="12.75" customHeight="1" x14ac:dyDescent="0.25">
      <c r="C872" s="6"/>
      <c r="D872" s="24"/>
      <c r="E872" s="6"/>
      <c r="F872" s="24"/>
      <c r="I872" s="6"/>
      <c r="M872" s="24"/>
    </row>
    <row r="873" spans="3:13" ht="12.75" customHeight="1" x14ac:dyDescent="0.25">
      <c r="C873" s="6"/>
      <c r="D873" s="24"/>
      <c r="E873" s="6"/>
      <c r="F873" s="24"/>
      <c r="I873" s="6"/>
      <c r="M873" s="24"/>
    </row>
    <row r="874" spans="3:13" ht="12.75" customHeight="1" x14ac:dyDescent="0.25">
      <c r="C874" s="6"/>
      <c r="D874" s="24"/>
      <c r="E874" s="6"/>
      <c r="F874" s="24"/>
      <c r="I874" s="6"/>
      <c r="M874" s="24"/>
    </row>
    <row r="875" spans="3:13" ht="12.75" customHeight="1" x14ac:dyDescent="0.25">
      <c r="C875" s="6"/>
      <c r="D875" s="24"/>
      <c r="E875" s="6"/>
      <c r="F875" s="24"/>
      <c r="I875" s="6"/>
      <c r="M875" s="24"/>
    </row>
    <row r="876" spans="3:13" ht="12.75" customHeight="1" x14ac:dyDescent="0.25">
      <c r="C876" s="6"/>
      <c r="D876" s="24"/>
      <c r="E876" s="6"/>
      <c r="F876" s="24"/>
      <c r="I876" s="6"/>
      <c r="M876" s="24"/>
    </row>
    <row r="877" spans="3:13" ht="12.75" customHeight="1" x14ac:dyDescent="0.25">
      <c r="C877" s="6"/>
      <c r="D877" s="24"/>
      <c r="E877" s="6"/>
      <c r="F877" s="24"/>
      <c r="I877" s="6"/>
      <c r="M877" s="24"/>
    </row>
    <row r="878" spans="3:13" ht="12.75" customHeight="1" x14ac:dyDescent="0.25">
      <c r="C878" s="6"/>
      <c r="D878" s="24"/>
      <c r="E878" s="6"/>
      <c r="F878" s="24"/>
      <c r="I878" s="6"/>
      <c r="M878" s="24"/>
    </row>
    <row r="879" spans="3:13" ht="12.75" customHeight="1" x14ac:dyDescent="0.25">
      <c r="C879" s="6"/>
      <c r="D879" s="24"/>
      <c r="E879" s="6"/>
      <c r="F879" s="24"/>
      <c r="I879" s="6"/>
      <c r="M879" s="24"/>
    </row>
    <row r="880" spans="3:13" ht="12.75" customHeight="1" x14ac:dyDescent="0.25">
      <c r="C880" s="6"/>
      <c r="D880" s="24"/>
      <c r="E880" s="6"/>
      <c r="F880" s="24"/>
      <c r="I880" s="6"/>
      <c r="M880" s="24"/>
    </row>
    <row r="881" spans="3:13" ht="12.75" customHeight="1" x14ac:dyDescent="0.25">
      <c r="C881" s="6"/>
      <c r="D881" s="24"/>
      <c r="E881" s="6"/>
      <c r="F881" s="24"/>
      <c r="I881" s="6"/>
      <c r="M881" s="24"/>
    </row>
    <row r="882" spans="3:13" ht="12.75" customHeight="1" x14ac:dyDescent="0.25">
      <c r="C882" s="6"/>
      <c r="D882" s="24"/>
      <c r="E882" s="6"/>
      <c r="F882" s="24"/>
      <c r="I882" s="6"/>
      <c r="M882" s="24"/>
    </row>
    <row r="883" spans="3:13" ht="12.75" customHeight="1" x14ac:dyDescent="0.25">
      <c r="C883" s="6"/>
      <c r="D883" s="24"/>
      <c r="E883" s="6"/>
      <c r="F883" s="24"/>
      <c r="I883" s="6"/>
      <c r="M883" s="24"/>
    </row>
    <row r="884" spans="3:13" ht="12.75" customHeight="1" x14ac:dyDescent="0.25">
      <c r="C884" s="6"/>
      <c r="D884" s="24"/>
      <c r="E884" s="6"/>
      <c r="F884" s="24"/>
      <c r="I884" s="6"/>
      <c r="M884" s="24"/>
    </row>
    <row r="885" spans="3:13" ht="12.75" customHeight="1" x14ac:dyDescent="0.25">
      <c r="C885" s="6"/>
      <c r="D885" s="24"/>
      <c r="E885" s="6"/>
      <c r="F885" s="24"/>
      <c r="I885" s="6"/>
      <c r="M885" s="24"/>
    </row>
    <row r="886" spans="3:13" ht="12.75" customHeight="1" x14ac:dyDescent="0.25">
      <c r="C886" s="6"/>
      <c r="D886" s="24"/>
      <c r="E886" s="6"/>
      <c r="F886" s="24"/>
      <c r="I886" s="6"/>
      <c r="M886" s="24"/>
    </row>
    <row r="887" spans="3:13" ht="12.75" customHeight="1" x14ac:dyDescent="0.25">
      <c r="C887" s="6"/>
      <c r="D887" s="24"/>
      <c r="E887" s="6"/>
      <c r="F887" s="24"/>
      <c r="I887" s="6"/>
      <c r="M887" s="24"/>
    </row>
    <row r="888" spans="3:13" ht="12.75" customHeight="1" x14ac:dyDescent="0.25">
      <c r="C888" s="6"/>
      <c r="D888" s="24"/>
      <c r="E888" s="6"/>
      <c r="F888" s="24"/>
      <c r="I888" s="6"/>
      <c r="M888" s="24"/>
    </row>
    <row r="889" spans="3:13" ht="12.75" customHeight="1" x14ac:dyDescent="0.25">
      <c r="C889" s="6"/>
      <c r="D889" s="24"/>
      <c r="E889" s="6"/>
      <c r="F889" s="24"/>
      <c r="I889" s="6"/>
      <c r="M889" s="24"/>
    </row>
    <row r="890" spans="3:13" ht="12.75" customHeight="1" x14ac:dyDescent="0.25">
      <c r="C890" s="6"/>
      <c r="D890" s="24"/>
      <c r="E890" s="6"/>
      <c r="F890" s="24"/>
      <c r="I890" s="6"/>
      <c r="M890" s="24"/>
    </row>
    <row r="891" spans="3:13" ht="12.75" customHeight="1" x14ac:dyDescent="0.25">
      <c r="C891" s="6"/>
      <c r="D891" s="24"/>
      <c r="E891" s="6"/>
      <c r="F891" s="24"/>
      <c r="I891" s="6"/>
      <c r="M891" s="24"/>
    </row>
    <row r="892" spans="3:13" ht="12.75" customHeight="1" x14ac:dyDescent="0.25">
      <c r="C892" s="6"/>
      <c r="D892" s="24"/>
      <c r="E892" s="6"/>
      <c r="F892" s="24"/>
      <c r="I892" s="6"/>
      <c r="M892" s="24"/>
    </row>
    <row r="893" spans="3:13" ht="12.75" customHeight="1" x14ac:dyDescent="0.25">
      <c r="C893" s="6"/>
      <c r="D893" s="24"/>
      <c r="E893" s="6"/>
      <c r="F893" s="24"/>
      <c r="I893" s="6"/>
      <c r="M893" s="24"/>
    </row>
    <row r="894" spans="3:13" ht="12.75" customHeight="1" x14ac:dyDescent="0.25">
      <c r="C894" s="6"/>
      <c r="D894" s="24"/>
      <c r="E894" s="6"/>
      <c r="F894" s="24"/>
      <c r="I894" s="6"/>
      <c r="M894" s="24"/>
    </row>
    <row r="895" spans="3:13" ht="12.75" customHeight="1" x14ac:dyDescent="0.25">
      <c r="C895" s="6"/>
      <c r="D895" s="24"/>
      <c r="E895" s="6"/>
      <c r="F895" s="24"/>
      <c r="I895" s="6"/>
      <c r="M895" s="24"/>
    </row>
    <row r="896" spans="3:13" ht="12.75" customHeight="1" x14ac:dyDescent="0.25">
      <c r="C896" s="6"/>
      <c r="D896" s="24"/>
      <c r="E896" s="6"/>
      <c r="F896" s="24"/>
      <c r="I896" s="6"/>
      <c r="M896" s="24"/>
    </row>
    <row r="897" spans="3:13" ht="12.75" customHeight="1" x14ac:dyDescent="0.25">
      <c r="C897" s="6"/>
      <c r="D897" s="24"/>
      <c r="E897" s="6"/>
      <c r="F897" s="24"/>
      <c r="I897" s="6"/>
      <c r="M897" s="24"/>
    </row>
    <row r="898" spans="3:13" ht="12.75" customHeight="1" x14ac:dyDescent="0.25">
      <c r="C898" s="6"/>
      <c r="D898" s="24"/>
      <c r="E898" s="6"/>
      <c r="F898" s="24"/>
      <c r="I898" s="6"/>
      <c r="M898" s="24"/>
    </row>
    <row r="899" spans="3:13" ht="12.75" customHeight="1" x14ac:dyDescent="0.25">
      <c r="C899" s="6"/>
      <c r="D899" s="24"/>
      <c r="E899" s="6"/>
      <c r="F899" s="24"/>
      <c r="I899" s="6"/>
      <c r="M899" s="24"/>
    </row>
    <row r="900" spans="3:13" ht="12.75" customHeight="1" x14ac:dyDescent="0.25">
      <c r="C900" s="6"/>
      <c r="D900" s="24"/>
      <c r="E900" s="6"/>
      <c r="F900" s="24"/>
      <c r="I900" s="6"/>
      <c r="M900" s="24"/>
    </row>
    <row r="901" spans="3:13" ht="12.75" customHeight="1" x14ac:dyDescent="0.25">
      <c r="C901" s="6"/>
      <c r="D901" s="24"/>
      <c r="E901" s="6"/>
      <c r="F901" s="24"/>
      <c r="I901" s="6"/>
      <c r="M901" s="24"/>
    </row>
    <row r="902" spans="3:13" ht="12.75" customHeight="1" x14ac:dyDescent="0.25">
      <c r="C902" s="6"/>
      <c r="D902" s="24"/>
      <c r="E902" s="6"/>
      <c r="F902" s="24"/>
      <c r="I902" s="6"/>
      <c r="M902" s="24"/>
    </row>
    <row r="903" spans="3:13" ht="12.75" customHeight="1" x14ac:dyDescent="0.25">
      <c r="C903" s="6"/>
      <c r="D903" s="24"/>
      <c r="E903" s="6"/>
      <c r="F903" s="24"/>
      <c r="I903" s="6"/>
      <c r="M903" s="24"/>
    </row>
    <row r="904" spans="3:13" ht="12.75" customHeight="1" x14ac:dyDescent="0.25">
      <c r="C904" s="6"/>
      <c r="D904" s="24"/>
      <c r="E904" s="6"/>
      <c r="F904" s="24"/>
      <c r="I904" s="6"/>
      <c r="M904" s="24"/>
    </row>
    <row r="905" spans="3:13" ht="12.75" customHeight="1" x14ac:dyDescent="0.25">
      <c r="C905" s="6"/>
      <c r="D905" s="24"/>
      <c r="E905" s="6"/>
      <c r="F905" s="24"/>
      <c r="I905" s="6"/>
      <c r="M905" s="24"/>
    </row>
    <row r="906" spans="3:13" ht="12.75" customHeight="1" x14ac:dyDescent="0.25">
      <c r="C906" s="6"/>
      <c r="D906" s="24"/>
      <c r="E906" s="6"/>
      <c r="F906" s="24"/>
      <c r="I906" s="6"/>
      <c r="M906" s="24"/>
    </row>
    <row r="907" spans="3:13" ht="12.75" customHeight="1" x14ac:dyDescent="0.25">
      <c r="C907" s="6"/>
      <c r="D907" s="24"/>
      <c r="E907" s="6"/>
      <c r="F907" s="24"/>
      <c r="I907" s="6"/>
      <c r="M907" s="24"/>
    </row>
    <row r="908" spans="3:13" ht="12.75" customHeight="1" x14ac:dyDescent="0.25">
      <c r="C908" s="6"/>
      <c r="D908" s="24"/>
      <c r="E908" s="6"/>
      <c r="F908" s="24"/>
      <c r="I908" s="6"/>
      <c r="M908" s="24"/>
    </row>
    <row r="909" spans="3:13" ht="12.75" customHeight="1" x14ac:dyDescent="0.25">
      <c r="C909" s="6"/>
      <c r="D909" s="24"/>
      <c r="E909" s="6"/>
      <c r="F909" s="24"/>
      <c r="I909" s="6"/>
      <c r="M909" s="24"/>
    </row>
    <row r="910" spans="3:13" ht="12.75" customHeight="1" x14ac:dyDescent="0.25">
      <c r="C910" s="6"/>
      <c r="D910" s="24"/>
      <c r="E910" s="6"/>
      <c r="F910" s="24"/>
      <c r="I910" s="6"/>
      <c r="M910" s="24"/>
    </row>
    <row r="911" spans="3:13" ht="12.75" customHeight="1" x14ac:dyDescent="0.25">
      <c r="C911" s="6"/>
      <c r="D911" s="24"/>
      <c r="E911" s="6"/>
      <c r="F911" s="24"/>
      <c r="I911" s="6"/>
      <c r="M911" s="24"/>
    </row>
    <row r="912" spans="3:13" ht="12.75" customHeight="1" x14ac:dyDescent="0.25">
      <c r="C912" s="6"/>
      <c r="D912" s="24"/>
      <c r="E912" s="6"/>
      <c r="F912" s="24"/>
      <c r="I912" s="6"/>
      <c r="M912" s="24"/>
    </row>
    <row r="913" spans="3:13" ht="12.75" customHeight="1" x14ac:dyDescent="0.25">
      <c r="C913" s="6"/>
      <c r="D913" s="24"/>
      <c r="E913" s="6"/>
      <c r="F913" s="24"/>
      <c r="I913" s="6"/>
      <c r="M913" s="24"/>
    </row>
    <row r="914" spans="3:13" ht="12.75" customHeight="1" x14ac:dyDescent="0.25">
      <c r="C914" s="6"/>
      <c r="D914" s="24"/>
      <c r="E914" s="6"/>
      <c r="F914" s="24"/>
      <c r="I914" s="6"/>
      <c r="M914" s="24"/>
    </row>
    <row r="915" spans="3:13" ht="12.75" customHeight="1" x14ac:dyDescent="0.25">
      <c r="C915" s="6"/>
      <c r="D915" s="24"/>
      <c r="E915" s="6"/>
      <c r="F915" s="24"/>
      <c r="I915" s="6"/>
      <c r="M915" s="24"/>
    </row>
    <row r="916" spans="3:13" ht="12.75" customHeight="1" x14ac:dyDescent="0.25">
      <c r="C916" s="6"/>
      <c r="D916" s="24"/>
      <c r="E916" s="6"/>
      <c r="F916" s="24"/>
      <c r="I916" s="6"/>
      <c r="M916" s="24"/>
    </row>
    <row r="917" spans="3:13" ht="12.75" customHeight="1" x14ac:dyDescent="0.25">
      <c r="C917" s="6"/>
      <c r="D917" s="24"/>
      <c r="E917" s="6"/>
      <c r="F917" s="24"/>
      <c r="I917" s="6"/>
      <c r="M917" s="24"/>
    </row>
    <row r="918" spans="3:13" ht="12.75" customHeight="1" x14ac:dyDescent="0.25">
      <c r="C918" s="6"/>
      <c r="D918" s="24"/>
      <c r="E918" s="6"/>
      <c r="F918" s="24"/>
      <c r="I918" s="6"/>
      <c r="M918" s="24"/>
    </row>
    <row r="919" spans="3:13" ht="12.75" customHeight="1" x14ac:dyDescent="0.25">
      <c r="C919" s="6"/>
      <c r="D919" s="24"/>
      <c r="E919" s="6"/>
      <c r="F919" s="24"/>
      <c r="I919" s="6"/>
      <c r="M919" s="24"/>
    </row>
    <row r="920" spans="3:13" ht="12.75" customHeight="1" x14ac:dyDescent="0.25">
      <c r="C920" s="6"/>
      <c r="D920" s="24"/>
      <c r="E920" s="6"/>
      <c r="F920" s="24"/>
      <c r="I920" s="6"/>
      <c r="M920" s="24"/>
    </row>
    <row r="921" spans="3:13" ht="12.75" customHeight="1" x14ac:dyDescent="0.25">
      <c r="C921" s="6"/>
      <c r="D921" s="24"/>
      <c r="E921" s="6"/>
      <c r="F921" s="24"/>
      <c r="I921" s="6"/>
      <c r="M921" s="24"/>
    </row>
    <row r="922" spans="3:13" ht="12.75" customHeight="1" x14ac:dyDescent="0.25">
      <c r="C922" s="6"/>
      <c r="D922" s="24"/>
      <c r="E922" s="6"/>
      <c r="F922" s="24"/>
      <c r="I922" s="6"/>
      <c r="M922" s="24"/>
    </row>
    <row r="923" spans="3:13" ht="12.75" customHeight="1" x14ac:dyDescent="0.25">
      <c r="C923" s="6"/>
      <c r="D923" s="24"/>
      <c r="E923" s="6"/>
      <c r="F923" s="24"/>
      <c r="I923" s="6"/>
      <c r="M923" s="24"/>
    </row>
    <row r="924" spans="3:13" ht="12.75" customHeight="1" x14ac:dyDescent="0.25">
      <c r="C924" s="6"/>
      <c r="D924" s="24"/>
      <c r="E924" s="6"/>
      <c r="F924" s="24"/>
      <c r="I924" s="6"/>
      <c r="M924" s="24"/>
    </row>
    <row r="925" spans="3:13" ht="12.75" customHeight="1" x14ac:dyDescent="0.25">
      <c r="C925" s="6"/>
      <c r="D925" s="24"/>
      <c r="E925" s="6"/>
      <c r="F925" s="24"/>
      <c r="I925" s="6"/>
      <c r="M925" s="24"/>
    </row>
    <row r="926" spans="3:13" ht="12.75" customHeight="1" x14ac:dyDescent="0.25">
      <c r="C926" s="6"/>
      <c r="D926" s="24"/>
      <c r="E926" s="6"/>
      <c r="F926" s="24"/>
      <c r="I926" s="6"/>
      <c r="M926" s="24"/>
    </row>
    <row r="927" spans="3:13" ht="12.75" customHeight="1" x14ac:dyDescent="0.25">
      <c r="C927" s="6"/>
      <c r="D927" s="24"/>
      <c r="E927" s="6"/>
      <c r="F927" s="24"/>
      <c r="I927" s="6"/>
      <c r="M927" s="24"/>
    </row>
    <row r="928" spans="3:13" ht="12.75" customHeight="1" x14ac:dyDescent="0.25">
      <c r="C928" s="6"/>
      <c r="D928" s="24"/>
      <c r="E928" s="6"/>
      <c r="F928" s="24"/>
      <c r="I928" s="6"/>
      <c r="M928" s="24"/>
    </row>
    <row r="929" spans="3:13" ht="12.75" customHeight="1" x14ac:dyDescent="0.25">
      <c r="C929" s="6"/>
      <c r="D929" s="24"/>
      <c r="E929" s="6"/>
      <c r="F929" s="24"/>
      <c r="I929" s="6"/>
      <c r="M929" s="24"/>
    </row>
    <row r="930" spans="3:13" ht="12.75" customHeight="1" x14ac:dyDescent="0.25">
      <c r="C930" s="6"/>
      <c r="D930" s="24"/>
      <c r="E930" s="6"/>
      <c r="F930" s="24"/>
      <c r="I930" s="6"/>
      <c r="M930" s="24"/>
    </row>
    <row r="931" spans="3:13" ht="12.75" customHeight="1" x14ac:dyDescent="0.25">
      <c r="C931" s="6"/>
      <c r="D931" s="24"/>
      <c r="E931" s="6"/>
      <c r="F931" s="24"/>
      <c r="I931" s="6"/>
      <c r="M931" s="24"/>
    </row>
    <row r="932" spans="3:13" ht="12.75" customHeight="1" x14ac:dyDescent="0.25">
      <c r="C932" s="6"/>
      <c r="D932" s="24"/>
      <c r="E932" s="6"/>
      <c r="F932" s="24"/>
      <c r="I932" s="6"/>
      <c r="M932" s="24"/>
    </row>
    <row r="933" spans="3:13" ht="12.75" customHeight="1" x14ac:dyDescent="0.25">
      <c r="C933" s="6"/>
      <c r="D933" s="24"/>
      <c r="E933" s="6"/>
      <c r="F933" s="24"/>
      <c r="I933" s="6"/>
      <c r="M933" s="24"/>
    </row>
    <row r="934" spans="3:13" ht="12.75" customHeight="1" x14ac:dyDescent="0.25">
      <c r="C934" s="6"/>
      <c r="D934" s="24"/>
      <c r="E934" s="6"/>
      <c r="F934" s="24"/>
      <c r="I934" s="6"/>
      <c r="M934" s="24"/>
    </row>
    <row r="935" spans="3:13" ht="12.75" customHeight="1" x14ac:dyDescent="0.25">
      <c r="C935" s="6"/>
      <c r="D935" s="24"/>
      <c r="E935" s="6"/>
      <c r="F935" s="24"/>
      <c r="I935" s="6"/>
      <c r="M935" s="24"/>
    </row>
    <row r="936" spans="3:13" ht="12.75" customHeight="1" x14ac:dyDescent="0.25">
      <c r="C936" s="6"/>
      <c r="D936" s="24"/>
      <c r="E936" s="6"/>
      <c r="F936" s="24"/>
      <c r="I936" s="6"/>
      <c r="M936" s="24"/>
    </row>
    <row r="937" spans="3:13" ht="12.75" customHeight="1" x14ac:dyDescent="0.25">
      <c r="C937" s="6"/>
      <c r="D937" s="24"/>
      <c r="E937" s="6"/>
      <c r="F937" s="24"/>
      <c r="I937" s="6"/>
      <c r="M937" s="24"/>
    </row>
    <row r="938" spans="3:13" ht="12.75" customHeight="1" x14ac:dyDescent="0.25">
      <c r="C938" s="6"/>
      <c r="D938" s="24"/>
      <c r="E938" s="6"/>
      <c r="F938" s="24"/>
      <c r="I938" s="6"/>
      <c r="M938" s="24"/>
    </row>
    <row r="939" spans="3:13" ht="12.75" customHeight="1" x14ac:dyDescent="0.25">
      <c r="C939" s="6"/>
      <c r="D939" s="24"/>
      <c r="E939" s="6"/>
      <c r="F939" s="24"/>
      <c r="I939" s="6"/>
      <c r="M939" s="24"/>
    </row>
    <row r="940" spans="3:13" ht="12.75" customHeight="1" x14ac:dyDescent="0.25">
      <c r="C940" s="6"/>
      <c r="D940" s="24"/>
      <c r="E940" s="6"/>
      <c r="F940" s="24"/>
      <c r="I940" s="6"/>
      <c r="M940" s="24"/>
    </row>
    <row r="941" spans="3:13" ht="12.75" customHeight="1" x14ac:dyDescent="0.25">
      <c r="C941" s="6"/>
      <c r="D941" s="24"/>
      <c r="E941" s="6"/>
      <c r="F941" s="24"/>
      <c r="I941" s="6"/>
      <c r="M941" s="24"/>
    </row>
    <row r="942" spans="3:13" ht="12.75" customHeight="1" x14ac:dyDescent="0.25">
      <c r="C942" s="6"/>
      <c r="D942" s="24"/>
      <c r="E942" s="6"/>
      <c r="F942" s="24"/>
      <c r="I942" s="6"/>
      <c r="M942" s="24"/>
    </row>
    <row r="943" spans="3:13" ht="12.75" customHeight="1" x14ac:dyDescent="0.25">
      <c r="C943" s="6"/>
      <c r="D943" s="24"/>
      <c r="E943" s="6"/>
      <c r="F943" s="24"/>
      <c r="I943" s="6"/>
      <c r="M943" s="24"/>
    </row>
    <row r="944" spans="3:13" ht="12.75" customHeight="1" x14ac:dyDescent="0.25">
      <c r="C944" s="6"/>
      <c r="D944" s="24"/>
      <c r="E944" s="6"/>
      <c r="F944" s="24"/>
      <c r="I944" s="6"/>
      <c r="M944" s="24"/>
    </row>
    <row r="945" spans="3:13" ht="12.75" customHeight="1" x14ac:dyDescent="0.25">
      <c r="C945" s="6"/>
      <c r="D945" s="24"/>
      <c r="E945" s="6"/>
      <c r="F945" s="24"/>
      <c r="I945" s="6"/>
      <c r="M945" s="24"/>
    </row>
    <row r="946" spans="3:13" ht="12.75" customHeight="1" x14ac:dyDescent="0.25">
      <c r="C946" s="6"/>
      <c r="D946" s="24"/>
      <c r="E946" s="6"/>
      <c r="F946" s="24"/>
      <c r="I946" s="6"/>
      <c r="M946" s="24"/>
    </row>
    <row r="947" spans="3:13" ht="12.75" customHeight="1" x14ac:dyDescent="0.25">
      <c r="C947" s="6"/>
      <c r="D947" s="24"/>
      <c r="E947" s="6"/>
      <c r="F947" s="24"/>
      <c r="I947" s="6"/>
      <c r="M947" s="24"/>
    </row>
    <row r="948" spans="3:13" ht="12.75" customHeight="1" x14ac:dyDescent="0.25">
      <c r="C948" s="6"/>
      <c r="D948" s="24"/>
      <c r="E948" s="6"/>
      <c r="F948" s="24"/>
      <c r="I948" s="6"/>
      <c r="M948" s="24"/>
    </row>
    <row r="949" spans="3:13" ht="12.75" customHeight="1" x14ac:dyDescent="0.25">
      <c r="C949" s="6"/>
      <c r="D949" s="24"/>
      <c r="E949" s="6"/>
      <c r="F949" s="24"/>
      <c r="I949" s="6"/>
      <c r="M949" s="24"/>
    </row>
    <row r="950" spans="3:13" ht="12.75" customHeight="1" x14ac:dyDescent="0.25">
      <c r="C950" s="6"/>
      <c r="D950" s="24"/>
      <c r="E950" s="6"/>
      <c r="F950" s="24"/>
      <c r="I950" s="6"/>
      <c r="M950" s="24"/>
    </row>
    <row r="951" spans="3:13" ht="12.75" customHeight="1" x14ac:dyDescent="0.25">
      <c r="C951" s="6"/>
      <c r="D951" s="24"/>
      <c r="E951" s="6"/>
      <c r="F951" s="24"/>
      <c r="I951" s="6"/>
      <c r="M951" s="24"/>
    </row>
    <row r="952" spans="3:13" ht="12.75" customHeight="1" x14ac:dyDescent="0.25">
      <c r="C952" s="6"/>
      <c r="D952" s="24"/>
      <c r="E952" s="6"/>
      <c r="F952" s="24"/>
      <c r="I952" s="6"/>
      <c r="M952" s="24"/>
    </row>
    <row r="953" spans="3:13" ht="12.75" customHeight="1" x14ac:dyDescent="0.25">
      <c r="C953" s="6"/>
      <c r="D953" s="24"/>
      <c r="E953" s="6"/>
      <c r="F953" s="24"/>
      <c r="I953" s="6"/>
      <c r="M953" s="24"/>
    </row>
    <row r="954" spans="3:13" ht="12.75" customHeight="1" x14ac:dyDescent="0.25">
      <c r="C954" s="6"/>
      <c r="D954" s="24"/>
      <c r="E954" s="6"/>
      <c r="F954" s="24"/>
      <c r="I954" s="6"/>
      <c r="M954" s="24"/>
    </row>
    <row r="955" spans="3:13" ht="12.75" customHeight="1" x14ac:dyDescent="0.25">
      <c r="C955" s="6"/>
      <c r="D955" s="24"/>
      <c r="E955" s="6"/>
      <c r="F955" s="24"/>
      <c r="I955" s="6"/>
      <c r="M955" s="24"/>
    </row>
    <row r="956" spans="3:13" ht="12.75" customHeight="1" x14ac:dyDescent="0.25">
      <c r="C956" s="6"/>
      <c r="D956" s="24"/>
      <c r="E956" s="6"/>
      <c r="F956" s="24"/>
      <c r="I956" s="6"/>
      <c r="M956" s="24"/>
    </row>
    <row r="957" spans="3:13" ht="12.75" customHeight="1" x14ac:dyDescent="0.25">
      <c r="C957" s="6"/>
      <c r="D957" s="24"/>
      <c r="E957" s="6"/>
      <c r="F957" s="24"/>
      <c r="I957" s="6"/>
      <c r="M957" s="24"/>
    </row>
    <row r="958" spans="3:13" ht="12.75" customHeight="1" x14ac:dyDescent="0.25">
      <c r="C958" s="6"/>
      <c r="D958" s="24"/>
      <c r="E958" s="6"/>
      <c r="F958" s="24"/>
      <c r="I958" s="6"/>
      <c r="M958" s="24"/>
    </row>
    <row r="959" spans="3:13" ht="12.75" customHeight="1" x14ac:dyDescent="0.25">
      <c r="C959" s="6"/>
      <c r="D959" s="24"/>
      <c r="E959" s="6"/>
      <c r="F959" s="24"/>
      <c r="I959" s="6"/>
      <c r="M959" s="24"/>
    </row>
    <row r="960" spans="3:13" ht="12.75" customHeight="1" x14ac:dyDescent="0.25">
      <c r="C960" s="6"/>
      <c r="D960" s="24"/>
      <c r="E960" s="6"/>
      <c r="F960" s="24"/>
      <c r="I960" s="6"/>
      <c r="M960" s="24"/>
    </row>
    <row r="961" spans="3:13" ht="12.75" customHeight="1" x14ac:dyDescent="0.25">
      <c r="C961" s="6"/>
      <c r="D961" s="24"/>
      <c r="E961" s="6"/>
      <c r="F961" s="24"/>
      <c r="I961" s="6"/>
      <c r="M961" s="24"/>
    </row>
    <row r="962" spans="3:13" ht="12.75" customHeight="1" x14ac:dyDescent="0.25">
      <c r="C962" s="6"/>
      <c r="D962" s="24"/>
      <c r="E962" s="6"/>
      <c r="F962" s="24"/>
      <c r="I962" s="6"/>
      <c r="M962" s="24"/>
    </row>
    <row r="963" spans="3:13" ht="12.75" customHeight="1" x14ac:dyDescent="0.25">
      <c r="C963" s="6"/>
      <c r="D963" s="24"/>
      <c r="E963" s="6"/>
      <c r="F963" s="24"/>
      <c r="I963" s="6"/>
      <c r="M963" s="24"/>
    </row>
    <row r="964" spans="3:13" ht="12.75" customHeight="1" x14ac:dyDescent="0.25">
      <c r="C964" s="6"/>
      <c r="D964" s="24"/>
      <c r="E964" s="6"/>
      <c r="F964" s="24"/>
      <c r="I964" s="6"/>
      <c r="M964" s="24"/>
    </row>
    <row r="965" spans="3:13" ht="12.75" customHeight="1" x14ac:dyDescent="0.25">
      <c r="C965" s="6"/>
      <c r="D965" s="24"/>
      <c r="E965" s="6"/>
      <c r="F965" s="24"/>
      <c r="I965" s="6"/>
      <c r="M965" s="24"/>
    </row>
    <row r="966" spans="3:13" ht="12.75" customHeight="1" x14ac:dyDescent="0.25">
      <c r="C966" s="6"/>
      <c r="D966" s="24"/>
      <c r="E966" s="6"/>
      <c r="F966" s="24"/>
      <c r="I966" s="6"/>
      <c r="M966" s="24"/>
    </row>
    <row r="967" spans="3:13" ht="12.75" customHeight="1" x14ac:dyDescent="0.25">
      <c r="C967" s="6"/>
      <c r="D967" s="24"/>
      <c r="E967" s="6"/>
      <c r="F967" s="24"/>
      <c r="I967" s="6"/>
      <c r="M967" s="24"/>
    </row>
    <row r="968" spans="3:13" ht="12.75" customHeight="1" x14ac:dyDescent="0.25">
      <c r="C968" s="6"/>
      <c r="D968" s="24"/>
      <c r="E968" s="6"/>
      <c r="F968" s="24"/>
      <c r="I968" s="6"/>
      <c r="M968" s="24"/>
    </row>
    <row r="969" spans="3:13" ht="12.75" customHeight="1" x14ac:dyDescent="0.25">
      <c r="C969" s="6"/>
      <c r="D969" s="24"/>
      <c r="E969" s="6"/>
      <c r="F969" s="24"/>
      <c r="I969" s="6"/>
      <c r="M969" s="24"/>
    </row>
    <row r="970" spans="3:13" ht="12.75" customHeight="1" x14ac:dyDescent="0.25">
      <c r="C970" s="6"/>
      <c r="D970" s="24"/>
      <c r="E970" s="6"/>
      <c r="F970" s="24"/>
      <c r="I970" s="6"/>
      <c r="M970" s="24"/>
    </row>
    <row r="971" spans="3:13" ht="12.75" customHeight="1" x14ac:dyDescent="0.25">
      <c r="C971" s="6"/>
      <c r="D971" s="24"/>
      <c r="E971" s="6"/>
      <c r="F971" s="24"/>
      <c r="I971" s="6"/>
      <c r="M971" s="24"/>
    </row>
    <row r="972" spans="3:13" ht="12.75" customHeight="1" x14ac:dyDescent="0.25">
      <c r="C972" s="6"/>
      <c r="D972" s="24"/>
      <c r="E972" s="6"/>
      <c r="F972" s="24"/>
      <c r="I972" s="6"/>
      <c r="M972" s="24"/>
    </row>
    <row r="973" spans="3:13" ht="12.75" customHeight="1" x14ac:dyDescent="0.25">
      <c r="C973" s="6"/>
      <c r="D973" s="24"/>
      <c r="E973" s="6"/>
      <c r="F973" s="24"/>
      <c r="I973" s="6"/>
      <c r="M973" s="24"/>
    </row>
    <row r="974" spans="3:13" ht="12.75" customHeight="1" x14ac:dyDescent="0.25">
      <c r="C974" s="6"/>
      <c r="D974" s="24"/>
      <c r="E974" s="6"/>
      <c r="F974" s="24"/>
      <c r="I974" s="6"/>
      <c r="M974" s="24"/>
    </row>
    <row r="975" spans="3:13" ht="12.75" customHeight="1" x14ac:dyDescent="0.25">
      <c r="C975" s="6"/>
      <c r="D975" s="24"/>
      <c r="E975" s="6"/>
      <c r="F975" s="24"/>
      <c r="I975" s="6"/>
      <c r="M975" s="24"/>
    </row>
    <row r="976" spans="3:13" ht="12.75" customHeight="1" x14ac:dyDescent="0.25">
      <c r="C976" s="6"/>
      <c r="D976" s="24"/>
      <c r="E976" s="6"/>
      <c r="F976" s="24"/>
      <c r="I976" s="6"/>
      <c r="M976" s="24"/>
    </row>
    <row r="977" spans="3:13" ht="12.75" customHeight="1" x14ac:dyDescent="0.25">
      <c r="C977" s="6"/>
      <c r="D977" s="24"/>
      <c r="E977" s="6"/>
      <c r="F977" s="24"/>
      <c r="I977" s="6"/>
      <c r="M977" s="24"/>
    </row>
    <row r="978" spans="3:13" ht="12.75" customHeight="1" x14ac:dyDescent="0.25">
      <c r="C978" s="6"/>
      <c r="D978" s="24"/>
      <c r="E978" s="6"/>
      <c r="F978" s="24"/>
      <c r="I978" s="6"/>
      <c r="M978" s="24"/>
    </row>
    <row r="979" spans="3:13" ht="12.75" customHeight="1" x14ac:dyDescent="0.25">
      <c r="C979" s="6"/>
      <c r="D979" s="24"/>
      <c r="E979" s="6"/>
      <c r="F979" s="24"/>
      <c r="I979" s="6"/>
      <c r="M979" s="24"/>
    </row>
    <row r="980" spans="3:13" ht="12.75" customHeight="1" x14ac:dyDescent="0.25">
      <c r="C980" s="6"/>
      <c r="D980" s="24"/>
      <c r="E980" s="6"/>
      <c r="F980" s="24"/>
      <c r="I980" s="6"/>
      <c r="M980" s="24"/>
    </row>
    <row r="981" spans="3:13" ht="12.75" customHeight="1" x14ac:dyDescent="0.25">
      <c r="C981" s="6"/>
      <c r="D981" s="24"/>
      <c r="E981" s="6"/>
      <c r="F981" s="24"/>
      <c r="I981" s="6"/>
      <c r="M981" s="24"/>
    </row>
    <row r="982" spans="3:13" ht="12.75" customHeight="1" x14ac:dyDescent="0.25">
      <c r="C982" s="6"/>
      <c r="D982" s="24"/>
      <c r="E982" s="6"/>
      <c r="F982" s="24"/>
      <c r="I982" s="6"/>
      <c r="M982" s="24"/>
    </row>
    <row r="983" spans="3:13" ht="12.75" customHeight="1" x14ac:dyDescent="0.25">
      <c r="C983" s="6"/>
      <c r="D983" s="24"/>
      <c r="E983" s="6"/>
      <c r="F983" s="24"/>
      <c r="I983" s="6"/>
      <c r="M983" s="24"/>
    </row>
    <row r="984" spans="3:13" ht="12.75" customHeight="1" x14ac:dyDescent="0.25">
      <c r="C984" s="6"/>
      <c r="D984" s="24"/>
      <c r="E984" s="6"/>
      <c r="F984" s="24"/>
      <c r="I984" s="6"/>
      <c r="M984" s="24"/>
    </row>
    <row r="985" spans="3:13" ht="12.75" customHeight="1" x14ac:dyDescent="0.25">
      <c r="C985" s="6"/>
      <c r="D985" s="24"/>
      <c r="E985" s="6"/>
      <c r="F985" s="24"/>
      <c r="I985" s="6"/>
      <c r="M985" s="24"/>
    </row>
    <row r="986" spans="3:13" ht="12.75" customHeight="1" x14ac:dyDescent="0.25">
      <c r="C986" s="6"/>
      <c r="D986" s="24"/>
      <c r="E986" s="6"/>
      <c r="F986" s="24"/>
      <c r="I986" s="6"/>
      <c r="M986" s="24"/>
    </row>
    <row r="987" spans="3:13" ht="12.75" customHeight="1" x14ac:dyDescent="0.25">
      <c r="C987" s="6"/>
      <c r="D987" s="24"/>
      <c r="E987" s="6"/>
      <c r="F987" s="24"/>
      <c r="I987" s="6"/>
      <c r="M987" s="24"/>
    </row>
    <row r="988" spans="3:13" ht="12.75" customHeight="1" x14ac:dyDescent="0.25">
      <c r="C988" s="6"/>
      <c r="D988" s="24"/>
      <c r="E988" s="6"/>
      <c r="F988" s="24"/>
      <c r="I988" s="6"/>
      <c r="M988" s="24"/>
    </row>
    <row r="989" spans="3:13" ht="12.75" customHeight="1" x14ac:dyDescent="0.25">
      <c r="C989" s="6"/>
      <c r="D989" s="24"/>
      <c r="E989" s="6"/>
      <c r="F989" s="24"/>
      <c r="I989" s="6"/>
      <c r="M989" s="24"/>
    </row>
    <row r="990" spans="3:13" ht="12.75" customHeight="1" x14ac:dyDescent="0.25">
      <c r="C990" s="6"/>
      <c r="D990" s="24"/>
      <c r="E990" s="6"/>
      <c r="F990" s="24"/>
      <c r="I990" s="6"/>
      <c r="M990" s="24"/>
    </row>
    <row r="991" spans="3:13" ht="12.75" customHeight="1" x14ac:dyDescent="0.25">
      <c r="C991" s="6"/>
      <c r="D991" s="24"/>
      <c r="E991" s="6"/>
      <c r="F991" s="24"/>
      <c r="I991" s="6"/>
      <c r="M991" s="24"/>
    </row>
    <row r="992" spans="3:13" ht="12.75" customHeight="1" x14ac:dyDescent="0.25">
      <c r="C992" s="6"/>
      <c r="D992" s="24"/>
      <c r="E992" s="6"/>
      <c r="F992" s="24"/>
      <c r="I992" s="6"/>
      <c r="M992" s="24"/>
    </row>
    <row r="993" spans="3:13" ht="12.75" customHeight="1" x14ac:dyDescent="0.25">
      <c r="C993" s="6"/>
      <c r="D993" s="24"/>
      <c r="E993" s="6"/>
      <c r="F993" s="24"/>
      <c r="I993" s="6"/>
      <c r="M993" s="24"/>
    </row>
    <row r="994" spans="3:13" ht="12.75" customHeight="1" x14ac:dyDescent="0.25">
      <c r="C994" s="6"/>
      <c r="D994" s="24"/>
      <c r="E994" s="6"/>
      <c r="F994" s="24"/>
      <c r="I994" s="6"/>
      <c r="M994" s="24"/>
    </row>
    <row r="995" spans="3:13" ht="12.75" customHeight="1" x14ac:dyDescent="0.25">
      <c r="C995" s="6"/>
      <c r="D995" s="24"/>
      <c r="E995" s="6"/>
      <c r="F995" s="24"/>
      <c r="I995" s="6"/>
      <c r="M995" s="24"/>
    </row>
    <row r="996" spans="3:13" ht="12.75" customHeight="1" x14ac:dyDescent="0.25">
      <c r="C996" s="6"/>
      <c r="D996" s="24"/>
      <c r="E996" s="6"/>
      <c r="F996" s="24"/>
      <c r="I996" s="6"/>
      <c r="M996" s="24"/>
    </row>
    <row r="997" spans="3:13" ht="12.75" customHeight="1" x14ac:dyDescent="0.25">
      <c r="C997" s="6"/>
      <c r="D997" s="24"/>
      <c r="E997" s="6"/>
      <c r="F997" s="24"/>
      <c r="I997" s="6"/>
      <c r="M997" s="24"/>
    </row>
    <row r="998" spans="3:13" ht="12.75" customHeight="1" x14ac:dyDescent="0.25">
      <c r="C998" s="6"/>
      <c r="D998" s="24"/>
      <c r="E998" s="6"/>
      <c r="F998" s="24"/>
      <c r="I998" s="6"/>
      <c r="M998" s="24"/>
    </row>
    <row r="999" spans="3:13" ht="12.75" customHeight="1" x14ac:dyDescent="0.25">
      <c r="C999" s="6"/>
      <c r="D999" s="24"/>
      <c r="E999" s="6"/>
      <c r="F999" s="24"/>
      <c r="I999" s="6"/>
      <c r="M999" s="24"/>
    </row>
    <row r="1000" spans="3:13" ht="12.75" customHeight="1" x14ac:dyDescent="0.25">
      <c r="C1000" s="6"/>
      <c r="D1000" s="24"/>
      <c r="E1000" s="6"/>
      <c r="F1000" s="24"/>
      <c r="I1000" s="6"/>
      <c r="M1000" s="24"/>
    </row>
    <row r="1001" spans="3:13" ht="12.75" customHeight="1" x14ac:dyDescent="0.25">
      <c r="C1001" s="6"/>
      <c r="D1001" s="24"/>
      <c r="E1001" s="6"/>
      <c r="F1001" s="24"/>
      <c r="I1001" s="6"/>
      <c r="M1001" s="24"/>
    </row>
    <row r="1002" spans="3:13" ht="12.75" customHeight="1" x14ac:dyDescent="0.25">
      <c r="C1002" s="6"/>
      <c r="D1002" s="24"/>
      <c r="E1002" s="6"/>
      <c r="F1002" s="24"/>
      <c r="I1002" s="6"/>
      <c r="M1002" s="24"/>
    </row>
    <row r="1003" spans="3:13" ht="12.75" customHeight="1" x14ac:dyDescent="0.25">
      <c r="C1003" s="6"/>
      <c r="D1003" s="24"/>
      <c r="E1003" s="6"/>
      <c r="F1003" s="24"/>
      <c r="I1003" s="6"/>
      <c r="M1003" s="24"/>
    </row>
    <row r="1004" spans="3:13" ht="12.75" customHeight="1" x14ac:dyDescent="0.25">
      <c r="C1004" s="6"/>
      <c r="D1004" s="24"/>
      <c r="E1004" s="6"/>
      <c r="F1004" s="24"/>
      <c r="I1004" s="6"/>
      <c r="M1004" s="24"/>
    </row>
    <row r="1005" spans="3:13" ht="12.75" customHeight="1" x14ac:dyDescent="0.25">
      <c r="C1005" s="6"/>
      <c r="D1005" s="24"/>
      <c r="E1005" s="6"/>
      <c r="F1005" s="24"/>
      <c r="I1005" s="6"/>
      <c r="M1005" s="24"/>
    </row>
    <row r="1006" spans="3:13" ht="12.75" customHeight="1" x14ac:dyDescent="0.25">
      <c r="C1006" s="6"/>
      <c r="D1006" s="24"/>
      <c r="E1006" s="6"/>
      <c r="F1006" s="24"/>
      <c r="I1006" s="6"/>
      <c r="M1006" s="24"/>
    </row>
    <row r="1007" spans="3:13" ht="12.75" customHeight="1" x14ac:dyDescent="0.25">
      <c r="C1007" s="6"/>
      <c r="D1007" s="24"/>
      <c r="E1007" s="6"/>
      <c r="F1007" s="24"/>
      <c r="I1007" s="6"/>
      <c r="M1007" s="24"/>
    </row>
    <row r="1008" spans="3:13" ht="12.75" customHeight="1" x14ac:dyDescent="0.25">
      <c r="C1008" s="6"/>
      <c r="D1008" s="24"/>
      <c r="E1008" s="6"/>
      <c r="F1008" s="24"/>
      <c r="I1008" s="6"/>
      <c r="M1008" s="24"/>
    </row>
    <row r="1009" spans="3:13" ht="12.75" customHeight="1" x14ac:dyDescent="0.25">
      <c r="C1009" s="6"/>
      <c r="D1009" s="24"/>
      <c r="E1009" s="6"/>
      <c r="F1009" s="24"/>
      <c r="I1009" s="6"/>
      <c r="M1009" s="24"/>
    </row>
    <row r="1010" spans="3:13" ht="12.75" customHeight="1" x14ac:dyDescent="0.25">
      <c r="C1010" s="6"/>
      <c r="D1010" s="24"/>
      <c r="E1010" s="6"/>
      <c r="F1010" s="24"/>
      <c r="I1010" s="6"/>
      <c r="M1010" s="24"/>
    </row>
    <row r="1011" spans="3:13" ht="12.75" customHeight="1" x14ac:dyDescent="0.25">
      <c r="C1011" s="6"/>
      <c r="D1011" s="24"/>
      <c r="E1011" s="6"/>
      <c r="F1011" s="24"/>
      <c r="I1011" s="6"/>
      <c r="M1011" s="24"/>
    </row>
    <row r="1012" spans="3:13" ht="12.75" customHeight="1" x14ac:dyDescent="0.25">
      <c r="C1012" s="6"/>
      <c r="D1012" s="24"/>
      <c r="E1012" s="6"/>
      <c r="F1012" s="24"/>
      <c r="I1012" s="6"/>
      <c r="M1012" s="24"/>
    </row>
    <row r="1013" spans="3:13" ht="12.75" customHeight="1" x14ac:dyDescent="0.25">
      <c r="C1013" s="6"/>
      <c r="D1013" s="24"/>
      <c r="E1013" s="6"/>
      <c r="F1013" s="24"/>
      <c r="I1013" s="6"/>
      <c r="M1013" s="24"/>
    </row>
    <row r="1014" spans="3:13" ht="12.75" customHeight="1" x14ac:dyDescent="0.25">
      <c r="C1014" s="6"/>
      <c r="D1014" s="24"/>
      <c r="E1014" s="6"/>
      <c r="F1014" s="24"/>
      <c r="I1014" s="6"/>
      <c r="M1014" s="24"/>
    </row>
    <row r="1015" spans="3:13" ht="12.75" customHeight="1" x14ac:dyDescent="0.25">
      <c r="C1015" s="6"/>
      <c r="D1015" s="24"/>
      <c r="E1015" s="6"/>
      <c r="F1015" s="24"/>
      <c r="I1015" s="6"/>
      <c r="M1015" s="24"/>
    </row>
    <row r="1016" spans="3:13" ht="12.75" customHeight="1" x14ac:dyDescent="0.25">
      <c r="C1016" s="6"/>
      <c r="D1016" s="24"/>
      <c r="E1016" s="6"/>
      <c r="F1016" s="24"/>
      <c r="I1016" s="6"/>
      <c r="M1016" s="24"/>
    </row>
    <row r="1017" spans="3:13" ht="12.75" customHeight="1" x14ac:dyDescent="0.25">
      <c r="C1017" s="6"/>
      <c r="D1017" s="24"/>
      <c r="E1017" s="6"/>
      <c r="F1017" s="24"/>
      <c r="I1017" s="6"/>
      <c r="M1017" s="24"/>
    </row>
    <row r="1018" spans="3:13" ht="12.75" customHeight="1" x14ac:dyDescent="0.25">
      <c r="C1018" s="6"/>
      <c r="D1018" s="24"/>
      <c r="E1018" s="6"/>
      <c r="F1018" s="24"/>
      <c r="I1018" s="6"/>
      <c r="M1018" s="24"/>
    </row>
    <row r="1019" spans="3:13" ht="12.75" customHeight="1" x14ac:dyDescent="0.25">
      <c r="C1019" s="6"/>
      <c r="D1019" s="24"/>
      <c r="E1019" s="6"/>
      <c r="F1019" s="24"/>
      <c r="I1019" s="6"/>
      <c r="M1019" s="24"/>
    </row>
    <row r="1020" spans="3:13" ht="12.75" customHeight="1" x14ac:dyDescent="0.25">
      <c r="C1020" s="6"/>
      <c r="D1020" s="24"/>
      <c r="E1020" s="6"/>
      <c r="F1020" s="24"/>
      <c r="I1020" s="6"/>
      <c r="M1020" s="24"/>
    </row>
    <row r="1021" spans="3:13" ht="12.75" customHeight="1" x14ac:dyDescent="0.25">
      <c r="C1021" s="6"/>
      <c r="D1021" s="24"/>
      <c r="E1021" s="6"/>
      <c r="F1021" s="24"/>
      <c r="I1021" s="6"/>
      <c r="M1021" s="24"/>
    </row>
    <row r="1022" spans="3:13" ht="12.75" customHeight="1" x14ac:dyDescent="0.25">
      <c r="C1022" s="6"/>
      <c r="D1022" s="24"/>
      <c r="E1022" s="6"/>
      <c r="F1022" s="24"/>
      <c r="I1022" s="6"/>
      <c r="M1022" s="24"/>
    </row>
    <row r="1023" spans="3:13" ht="12.75" customHeight="1" x14ac:dyDescent="0.25">
      <c r="C1023" s="6"/>
      <c r="D1023" s="24"/>
      <c r="E1023" s="6"/>
      <c r="F1023" s="24"/>
      <c r="I1023" s="6"/>
      <c r="M1023" s="24"/>
    </row>
    <row r="1024" spans="3:13" ht="12.75" customHeight="1" x14ac:dyDescent="0.25">
      <c r="C1024" s="6"/>
      <c r="D1024" s="24"/>
      <c r="E1024" s="6"/>
      <c r="F1024" s="24"/>
      <c r="I1024" s="6"/>
      <c r="M1024" s="24"/>
    </row>
    <row r="1025" spans="3:13" ht="12.75" customHeight="1" x14ac:dyDescent="0.25">
      <c r="C1025" s="6"/>
      <c r="D1025" s="24"/>
      <c r="E1025" s="6"/>
      <c r="F1025" s="24"/>
      <c r="I1025" s="6"/>
      <c r="M1025" s="24"/>
    </row>
    <row r="1026" spans="3:13" ht="12.75" customHeight="1" x14ac:dyDescent="0.25">
      <c r="C1026" s="6"/>
      <c r="D1026" s="24"/>
      <c r="E1026" s="6"/>
      <c r="F1026" s="24"/>
      <c r="I1026" s="6"/>
      <c r="M1026" s="24"/>
    </row>
    <row r="1027" spans="3:13" ht="12.75" customHeight="1" x14ac:dyDescent="0.25">
      <c r="C1027" s="6"/>
      <c r="D1027" s="24"/>
      <c r="E1027" s="6"/>
      <c r="F1027" s="24"/>
      <c r="I1027" s="6"/>
      <c r="M1027" s="24"/>
    </row>
    <row r="1028" spans="3:13" ht="12.75" customHeight="1" x14ac:dyDescent="0.25">
      <c r="C1028" s="6"/>
      <c r="D1028" s="24"/>
      <c r="E1028" s="6"/>
      <c r="F1028" s="24"/>
      <c r="I1028" s="6"/>
      <c r="M1028" s="24"/>
    </row>
    <row r="1029" spans="3:13" ht="12.75" customHeight="1" x14ac:dyDescent="0.25">
      <c r="C1029" s="6"/>
      <c r="D1029" s="24"/>
      <c r="E1029" s="6"/>
      <c r="F1029" s="24"/>
      <c r="I1029" s="6"/>
      <c r="M1029" s="24"/>
    </row>
    <row r="1030" spans="3:13" ht="12.75" customHeight="1" x14ac:dyDescent="0.25">
      <c r="C1030" s="6"/>
      <c r="D1030" s="24"/>
      <c r="E1030" s="6"/>
      <c r="F1030" s="24"/>
      <c r="I1030" s="6"/>
      <c r="M1030" s="24"/>
    </row>
    <row r="1031" spans="3:13" ht="12.75" customHeight="1" x14ac:dyDescent="0.25">
      <c r="C1031" s="6"/>
      <c r="D1031" s="24"/>
      <c r="E1031" s="6"/>
      <c r="F1031" s="24"/>
      <c r="I1031" s="6"/>
      <c r="M1031" s="24"/>
    </row>
    <row r="1032" spans="3:13" ht="12.75" customHeight="1" x14ac:dyDescent="0.25">
      <c r="C1032" s="6"/>
      <c r="D1032" s="24"/>
      <c r="E1032" s="6"/>
      <c r="F1032" s="24"/>
      <c r="I1032" s="6"/>
      <c r="M1032" s="24"/>
    </row>
    <row r="1033" spans="3:13" ht="12.75" customHeight="1" x14ac:dyDescent="0.25">
      <c r="C1033" s="6"/>
      <c r="D1033" s="24"/>
      <c r="E1033" s="6"/>
      <c r="F1033" s="24"/>
      <c r="I1033" s="6"/>
      <c r="M1033" s="24"/>
    </row>
    <row r="1034" spans="3:13" ht="12.75" customHeight="1" x14ac:dyDescent="0.25">
      <c r="C1034" s="6"/>
      <c r="D1034" s="24"/>
      <c r="E1034" s="6"/>
      <c r="F1034" s="24"/>
      <c r="I1034" s="6"/>
      <c r="M1034" s="24"/>
    </row>
    <row r="1035" spans="3:13" ht="12.75" customHeight="1" x14ac:dyDescent="0.25">
      <c r="C1035" s="6"/>
      <c r="D1035" s="24"/>
      <c r="E1035" s="6"/>
      <c r="F1035" s="24"/>
      <c r="I1035" s="6"/>
      <c r="M1035" s="24"/>
    </row>
    <row r="1036" spans="3:13" ht="12.75" customHeight="1" x14ac:dyDescent="0.25">
      <c r="C1036" s="6"/>
      <c r="D1036" s="24"/>
      <c r="E1036" s="6"/>
      <c r="F1036" s="24"/>
      <c r="I1036" s="6"/>
      <c r="M1036" s="24"/>
    </row>
    <row r="1037" spans="3:13" ht="12.75" customHeight="1" x14ac:dyDescent="0.25">
      <c r="C1037" s="6"/>
      <c r="D1037" s="24"/>
      <c r="E1037" s="6"/>
      <c r="F1037" s="24"/>
      <c r="I1037" s="6"/>
      <c r="M1037" s="24"/>
    </row>
    <row r="1038" spans="3:13" ht="12.75" customHeight="1" x14ac:dyDescent="0.25">
      <c r="C1038" s="6"/>
      <c r="D1038" s="24"/>
      <c r="E1038" s="6"/>
      <c r="F1038" s="24"/>
      <c r="I1038" s="6"/>
      <c r="M1038" s="24"/>
    </row>
    <row r="1039" spans="3:13" ht="12.75" customHeight="1" x14ac:dyDescent="0.25">
      <c r="C1039" s="6"/>
      <c r="D1039" s="24"/>
      <c r="E1039" s="6"/>
      <c r="F1039" s="24"/>
      <c r="I1039" s="6"/>
      <c r="M1039" s="24"/>
    </row>
    <row r="1040" spans="3:13" ht="12.75" customHeight="1" x14ac:dyDescent="0.25">
      <c r="C1040" s="6"/>
      <c r="D1040" s="24"/>
      <c r="E1040" s="6"/>
      <c r="F1040" s="24"/>
      <c r="I1040" s="6"/>
      <c r="M1040" s="24"/>
    </row>
    <row r="1041" spans="3:13" ht="12.75" customHeight="1" x14ac:dyDescent="0.25">
      <c r="C1041" s="6"/>
      <c r="D1041" s="24"/>
      <c r="E1041" s="6"/>
      <c r="F1041" s="24"/>
      <c r="I1041" s="6"/>
      <c r="M1041" s="24"/>
    </row>
    <row r="1042" spans="3:13" ht="12.75" customHeight="1" x14ac:dyDescent="0.25">
      <c r="C1042" s="6"/>
      <c r="D1042" s="24"/>
      <c r="E1042" s="6"/>
      <c r="F1042" s="24"/>
      <c r="I1042" s="6"/>
      <c r="M1042" s="24"/>
    </row>
    <row r="1043" spans="3:13" ht="12.75" customHeight="1" x14ac:dyDescent="0.25">
      <c r="C1043" s="6"/>
      <c r="D1043" s="24"/>
      <c r="E1043" s="6"/>
      <c r="F1043" s="24"/>
      <c r="I1043" s="6"/>
      <c r="M1043" s="24"/>
    </row>
    <row r="1044" spans="3:13" ht="12.75" customHeight="1" x14ac:dyDescent="0.25">
      <c r="C1044" s="6"/>
      <c r="D1044" s="24"/>
      <c r="E1044" s="6"/>
      <c r="F1044" s="24"/>
      <c r="I1044" s="6"/>
      <c r="M1044" s="24"/>
    </row>
    <row r="1045" spans="3:13" ht="12.75" customHeight="1" x14ac:dyDescent="0.25">
      <c r="C1045" s="6"/>
      <c r="D1045" s="24"/>
      <c r="E1045" s="6"/>
      <c r="F1045" s="24"/>
      <c r="I1045" s="6"/>
      <c r="M1045" s="24"/>
    </row>
    <row r="1046" spans="3:13" ht="12.75" customHeight="1" x14ac:dyDescent="0.25">
      <c r="C1046" s="6"/>
      <c r="D1046" s="24"/>
      <c r="E1046" s="6"/>
      <c r="F1046" s="24"/>
      <c r="I1046" s="6"/>
      <c r="M1046" s="24"/>
    </row>
    <row r="1047" spans="3:13" ht="12.75" customHeight="1" x14ac:dyDescent="0.25">
      <c r="C1047" s="6"/>
      <c r="D1047" s="24"/>
      <c r="E1047" s="6"/>
      <c r="F1047" s="24"/>
      <c r="I1047" s="6"/>
      <c r="M1047" s="24"/>
    </row>
    <row r="1048" spans="3:13" ht="12.75" customHeight="1" x14ac:dyDescent="0.25">
      <c r="C1048" s="6"/>
      <c r="D1048" s="24"/>
      <c r="E1048" s="6"/>
      <c r="F1048" s="24"/>
      <c r="I1048" s="6"/>
      <c r="M1048" s="24"/>
    </row>
    <row r="1049" spans="3:13" ht="12.75" customHeight="1" x14ac:dyDescent="0.25">
      <c r="C1049" s="6"/>
      <c r="D1049" s="24"/>
      <c r="E1049" s="6"/>
      <c r="F1049" s="24"/>
      <c r="I1049" s="6"/>
      <c r="M1049" s="24"/>
    </row>
    <row r="1050" spans="3:13" ht="12.75" customHeight="1" x14ac:dyDescent="0.25">
      <c r="C1050" s="6"/>
      <c r="D1050" s="24"/>
      <c r="E1050" s="6"/>
      <c r="F1050" s="24"/>
      <c r="I1050" s="6"/>
      <c r="M1050" s="24"/>
    </row>
    <row r="1051" spans="3:13" ht="12.75" customHeight="1" x14ac:dyDescent="0.25">
      <c r="C1051" s="6"/>
      <c r="D1051" s="24"/>
      <c r="E1051" s="6"/>
      <c r="F1051" s="24"/>
      <c r="I1051" s="6"/>
      <c r="M1051" s="24"/>
    </row>
    <row r="1052" spans="3:13" ht="12.75" customHeight="1" x14ac:dyDescent="0.25">
      <c r="C1052" s="6"/>
      <c r="D1052" s="24"/>
      <c r="E1052" s="6"/>
      <c r="F1052" s="24"/>
      <c r="I1052" s="6"/>
      <c r="M1052" s="24"/>
    </row>
    <row r="1053" spans="3:13" ht="12.75" customHeight="1" x14ac:dyDescent="0.25">
      <c r="C1053" s="6"/>
      <c r="D1053" s="24"/>
      <c r="E1053" s="6"/>
      <c r="F1053" s="24"/>
      <c r="I1053" s="6"/>
      <c r="M1053" s="24"/>
    </row>
    <row r="1054" spans="3:13" ht="12.75" customHeight="1" x14ac:dyDescent="0.25">
      <c r="C1054" s="6"/>
      <c r="D1054" s="24"/>
      <c r="E1054" s="6"/>
      <c r="F1054" s="24"/>
      <c r="I1054" s="6"/>
      <c r="M1054" s="24"/>
    </row>
    <row r="1055" spans="3:13" ht="12.75" customHeight="1" x14ac:dyDescent="0.25">
      <c r="C1055" s="6"/>
      <c r="D1055" s="24"/>
      <c r="E1055" s="6"/>
      <c r="F1055" s="24"/>
      <c r="I1055" s="6"/>
      <c r="M1055" s="24"/>
    </row>
    <row r="1056" spans="3:13" ht="12.75" customHeight="1" x14ac:dyDescent="0.25">
      <c r="C1056" s="6"/>
      <c r="D1056" s="24"/>
      <c r="E1056" s="6"/>
      <c r="F1056" s="24"/>
      <c r="I1056" s="6"/>
      <c r="M1056" s="24"/>
    </row>
    <row r="1057" spans="3:13" ht="12.75" customHeight="1" x14ac:dyDescent="0.25">
      <c r="C1057" s="6"/>
      <c r="D1057" s="24"/>
      <c r="E1057" s="6"/>
      <c r="F1057" s="24"/>
      <c r="I1057" s="6"/>
      <c r="M1057" s="24"/>
    </row>
    <row r="1058" spans="3:13" ht="12.75" customHeight="1" x14ac:dyDescent="0.25">
      <c r="C1058" s="6"/>
      <c r="D1058" s="24"/>
      <c r="E1058" s="6"/>
      <c r="F1058" s="24"/>
      <c r="I1058" s="6"/>
      <c r="M1058" s="24"/>
    </row>
    <row r="1059" spans="3:13" ht="12.75" customHeight="1" x14ac:dyDescent="0.25">
      <c r="C1059" s="6"/>
      <c r="D1059" s="24"/>
      <c r="E1059" s="6"/>
      <c r="F1059" s="24"/>
      <c r="I1059" s="6"/>
      <c r="M1059" s="24"/>
    </row>
    <row r="1060" spans="3:13" ht="12.75" customHeight="1" x14ac:dyDescent="0.25">
      <c r="C1060" s="6"/>
      <c r="D1060" s="24"/>
      <c r="E1060" s="6"/>
      <c r="F1060" s="24"/>
      <c r="I1060" s="6"/>
      <c r="M1060" s="24"/>
    </row>
    <row r="1061" spans="3:13" ht="12.75" customHeight="1" x14ac:dyDescent="0.25">
      <c r="C1061" s="6"/>
      <c r="D1061" s="24"/>
      <c r="E1061" s="6"/>
      <c r="F1061" s="24"/>
      <c r="I1061" s="6"/>
      <c r="M1061" s="24"/>
    </row>
    <row r="1062" spans="3:13" ht="12.75" customHeight="1" x14ac:dyDescent="0.25">
      <c r="C1062" s="6"/>
      <c r="D1062" s="24"/>
      <c r="E1062" s="6"/>
      <c r="F1062" s="24"/>
      <c r="I1062" s="6"/>
      <c r="M1062" s="24"/>
    </row>
    <row r="1063" spans="3:13" ht="12.75" customHeight="1" x14ac:dyDescent="0.25">
      <c r="C1063" s="6"/>
      <c r="D1063" s="24"/>
      <c r="E1063" s="6"/>
      <c r="F1063" s="24"/>
      <c r="I1063" s="6"/>
      <c r="M1063" s="24"/>
    </row>
    <row r="1064" spans="3:13" ht="12.75" customHeight="1" x14ac:dyDescent="0.25">
      <c r="C1064" s="6"/>
      <c r="D1064" s="24"/>
      <c r="E1064" s="6"/>
      <c r="F1064" s="24"/>
      <c r="I1064" s="6"/>
      <c r="M1064" s="24"/>
    </row>
    <row r="1065" spans="3:13" ht="12.75" customHeight="1" x14ac:dyDescent="0.25">
      <c r="C1065" s="6"/>
      <c r="D1065" s="24"/>
      <c r="E1065" s="6"/>
      <c r="F1065" s="24"/>
      <c r="I1065" s="6"/>
      <c r="M1065" s="24"/>
    </row>
    <row r="1066" spans="3:13" ht="12.75" customHeight="1" x14ac:dyDescent="0.25">
      <c r="C1066" s="6"/>
      <c r="D1066" s="24"/>
      <c r="E1066" s="6"/>
      <c r="F1066" s="24"/>
      <c r="I1066" s="6"/>
      <c r="M1066" s="24"/>
    </row>
    <row r="1067" spans="3:13" ht="12.75" customHeight="1" x14ac:dyDescent="0.25">
      <c r="C1067" s="6"/>
      <c r="D1067" s="24"/>
      <c r="E1067" s="6"/>
      <c r="F1067" s="24"/>
      <c r="I1067" s="6"/>
      <c r="M1067" s="24"/>
    </row>
    <row r="1068" spans="3:13" ht="12.75" customHeight="1" x14ac:dyDescent="0.25">
      <c r="C1068" s="6"/>
      <c r="D1068" s="24"/>
      <c r="E1068" s="6"/>
      <c r="F1068" s="24"/>
      <c r="I1068" s="6"/>
      <c r="M1068" s="24"/>
    </row>
    <row r="1069" spans="3:13" ht="12.75" customHeight="1" x14ac:dyDescent="0.25">
      <c r="C1069" s="6"/>
      <c r="D1069" s="24"/>
      <c r="E1069" s="6"/>
      <c r="F1069" s="24"/>
      <c r="I1069" s="6"/>
      <c r="M1069" s="24"/>
    </row>
    <row r="1070" spans="3:13" ht="12.75" customHeight="1" x14ac:dyDescent="0.25">
      <c r="C1070" s="6"/>
      <c r="D1070" s="24"/>
      <c r="E1070" s="6"/>
      <c r="F1070" s="24"/>
      <c r="I1070" s="6"/>
      <c r="M1070" s="24"/>
    </row>
    <row r="1071" spans="3:13" ht="12.75" customHeight="1" x14ac:dyDescent="0.25">
      <c r="C1071" s="6"/>
      <c r="D1071" s="24"/>
      <c r="E1071" s="6"/>
      <c r="F1071" s="24"/>
      <c r="I1071" s="6"/>
      <c r="M1071" s="24"/>
    </row>
    <row r="1072" spans="3:13" ht="12.75" customHeight="1" x14ac:dyDescent="0.25">
      <c r="C1072" s="6"/>
      <c r="D1072" s="24"/>
      <c r="E1072" s="6"/>
      <c r="F1072" s="24"/>
      <c r="I1072" s="6"/>
      <c r="M1072" s="24"/>
    </row>
    <row r="1073" spans="3:13" ht="12.75" customHeight="1" x14ac:dyDescent="0.25">
      <c r="C1073" s="6"/>
      <c r="D1073" s="24"/>
      <c r="E1073" s="6"/>
      <c r="F1073" s="24"/>
      <c r="I1073" s="6"/>
      <c r="M1073" s="24"/>
    </row>
    <row r="1074" spans="3:13" ht="12.75" customHeight="1" x14ac:dyDescent="0.25">
      <c r="C1074" s="6"/>
      <c r="D1074" s="24"/>
      <c r="E1074" s="6"/>
      <c r="F1074" s="24"/>
      <c r="I1074" s="6"/>
      <c r="M1074" s="24"/>
    </row>
    <row r="1075" spans="3:13" ht="12.75" customHeight="1" x14ac:dyDescent="0.25">
      <c r="C1075" s="6"/>
      <c r="D1075" s="24"/>
      <c r="E1075" s="6"/>
      <c r="F1075" s="24"/>
      <c r="I1075" s="6"/>
      <c r="M1075" s="24"/>
    </row>
    <row r="1076" spans="3:13" ht="12.75" customHeight="1" x14ac:dyDescent="0.25">
      <c r="C1076" s="6"/>
      <c r="D1076" s="24"/>
      <c r="E1076" s="6"/>
      <c r="F1076" s="24"/>
      <c r="I1076" s="6"/>
      <c r="M1076" s="24"/>
    </row>
    <row r="1077" spans="3:13" ht="12.75" customHeight="1" x14ac:dyDescent="0.25">
      <c r="C1077" s="6"/>
      <c r="D1077" s="24"/>
      <c r="E1077" s="6"/>
      <c r="F1077" s="24"/>
      <c r="I1077" s="6"/>
      <c r="M1077" s="24"/>
    </row>
    <row r="1078" spans="3:13" ht="12.75" customHeight="1" x14ac:dyDescent="0.25">
      <c r="C1078" s="6"/>
      <c r="D1078" s="24"/>
      <c r="E1078" s="6"/>
      <c r="F1078" s="24"/>
      <c r="I1078" s="6"/>
      <c r="M1078" s="24"/>
    </row>
    <row r="1079" spans="3:13" ht="12.75" customHeight="1" x14ac:dyDescent="0.25">
      <c r="C1079" s="6"/>
      <c r="D1079" s="24"/>
      <c r="E1079" s="6"/>
      <c r="F1079" s="24"/>
      <c r="I1079" s="6"/>
      <c r="M1079" s="24"/>
    </row>
    <row r="1080" spans="3:13" ht="12.75" customHeight="1" x14ac:dyDescent="0.25">
      <c r="C1080" s="6"/>
      <c r="D1080" s="24"/>
      <c r="E1080" s="6"/>
      <c r="F1080" s="24"/>
      <c r="I1080" s="6"/>
      <c r="M1080" s="24"/>
    </row>
    <row r="1081" spans="3:13" ht="12.75" customHeight="1" x14ac:dyDescent="0.25">
      <c r="C1081" s="6"/>
      <c r="D1081" s="24"/>
      <c r="E1081" s="6"/>
      <c r="F1081" s="24"/>
      <c r="I1081" s="6"/>
      <c r="M1081" s="24"/>
    </row>
    <row r="1082" spans="3:13" ht="12.75" customHeight="1" x14ac:dyDescent="0.25">
      <c r="C1082" s="6"/>
      <c r="D1082" s="24"/>
      <c r="E1082" s="6"/>
      <c r="F1082" s="24"/>
      <c r="I1082" s="6"/>
      <c r="M1082" s="24"/>
    </row>
    <row r="1083" spans="3:13" ht="12.75" customHeight="1" x14ac:dyDescent="0.25">
      <c r="C1083" s="6"/>
      <c r="D1083" s="24"/>
      <c r="E1083" s="6"/>
      <c r="F1083" s="24"/>
      <c r="I1083" s="6"/>
      <c r="M1083" s="24"/>
    </row>
    <row r="1084" spans="3:13" ht="12.75" customHeight="1" x14ac:dyDescent="0.25">
      <c r="C1084" s="6"/>
      <c r="D1084" s="24"/>
      <c r="E1084" s="6"/>
      <c r="F1084" s="24"/>
      <c r="I1084" s="6"/>
      <c r="M1084" s="24"/>
    </row>
    <row r="1085" spans="3:13" ht="12.75" customHeight="1" x14ac:dyDescent="0.25">
      <c r="C1085" s="6"/>
      <c r="D1085" s="24"/>
      <c r="E1085" s="6"/>
      <c r="F1085" s="24"/>
      <c r="I1085" s="6"/>
      <c r="M1085" s="24"/>
    </row>
    <row r="1086" spans="3:13" ht="12.75" customHeight="1" x14ac:dyDescent="0.25">
      <c r="C1086" s="6"/>
      <c r="D1086" s="24"/>
      <c r="E1086" s="6"/>
      <c r="F1086" s="24"/>
      <c r="I1086" s="6"/>
      <c r="M1086" s="24"/>
    </row>
    <row r="1087" spans="3:13" ht="12.75" customHeight="1" x14ac:dyDescent="0.25">
      <c r="C1087" s="6"/>
      <c r="D1087" s="24"/>
      <c r="E1087" s="6"/>
      <c r="F1087" s="24"/>
      <c r="I1087" s="6"/>
      <c r="M1087" s="24"/>
    </row>
    <row r="1088" spans="3:13" ht="12.75" customHeight="1" x14ac:dyDescent="0.25">
      <c r="C1088" s="6"/>
      <c r="D1088" s="24"/>
      <c r="E1088" s="6"/>
      <c r="F1088" s="24"/>
      <c r="I1088" s="6"/>
      <c r="M1088" s="24"/>
    </row>
    <row r="1089" spans="3:13" ht="12.75" customHeight="1" x14ac:dyDescent="0.25">
      <c r="C1089" s="6"/>
      <c r="D1089" s="24"/>
      <c r="E1089" s="6"/>
      <c r="F1089" s="24"/>
      <c r="I1089" s="6"/>
      <c r="M1089" s="24"/>
    </row>
    <row r="1090" spans="3:13" ht="12.75" customHeight="1" x14ac:dyDescent="0.25">
      <c r="C1090" s="6"/>
      <c r="D1090" s="24"/>
      <c r="E1090" s="6"/>
      <c r="F1090" s="24"/>
      <c r="I1090" s="6"/>
      <c r="M1090" s="24"/>
    </row>
    <row r="1091" spans="3:13" ht="12.75" customHeight="1" x14ac:dyDescent="0.25">
      <c r="C1091" s="6"/>
      <c r="D1091" s="24"/>
      <c r="E1091" s="6"/>
      <c r="F1091" s="24"/>
      <c r="I1091" s="6"/>
      <c r="M1091" s="24"/>
    </row>
    <row r="1092" spans="3:13" ht="12.75" customHeight="1" x14ac:dyDescent="0.25">
      <c r="C1092" s="6"/>
      <c r="D1092" s="24"/>
      <c r="E1092" s="6"/>
      <c r="F1092" s="24"/>
      <c r="I1092" s="6"/>
      <c r="M1092" s="24"/>
    </row>
    <row r="1093" spans="3:13" ht="12.75" customHeight="1" x14ac:dyDescent="0.25">
      <c r="C1093" s="6"/>
      <c r="D1093" s="24"/>
      <c r="E1093" s="6"/>
      <c r="F1093" s="24"/>
      <c r="I1093" s="6"/>
      <c r="M1093" s="24"/>
    </row>
    <row r="1094" spans="3:13" ht="12.75" customHeight="1" x14ac:dyDescent="0.25">
      <c r="C1094" s="6"/>
      <c r="D1094" s="24"/>
      <c r="E1094" s="6"/>
      <c r="F1094" s="24"/>
      <c r="I1094" s="6"/>
      <c r="M1094" s="24"/>
    </row>
    <row r="1095" spans="3:13" ht="12.75" customHeight="1" x14ac:dyDescent="0.25">
      <c r="C1095" s="6"/>
      <c r="D1095" s="24"/>
      <c r="E1095" s="6"/>
      <c r="F1095" s="24"/>
      <c r="I1095" s="6"/>
      <c r="M1095" s="24"/>
    </row>
    <row r="1096" spans="3:13" ht="12.75" customHeight="1" x14ac:dyDescent="0.25">
      <c r="C1096" s="6"/>
      <c r="D1096" s="24"/>
      <c r="E1096" s="6"/>
      <c r="F1096" s="24"/>
      <c r="I1096" s="6"/>
      <c r="M1096" s="24"/>
    </row>
    <row r="1097" spans="3:13" ht="12.75" customHeight="1" x14ac:dyDescent="0.25">
      <c r="C1097" s="6"/>
      <c r="D1097" s="24"/>
      <c r="E1097" s="6"/>
      <c r="F1097" s="24"/>
      <c r="I1097" s="6"/>
      <c r="M1097" s="24"/>
    </row>
    <row r="1098" spans="3:13" ht="12.75" customHeight="1" x14ac:dyDescent="0.25">
      <c r="C1098" s="6"/>
      <c r="D1098" s="24"/>
      <c r="E1098" s="6"/>
      <c r="F1098" s="24"/>
      <c r="I1098" s="6"/>
      <c r="M1098" s="24"/>
    </row>
    <row r="1099" spans="3:13" ht="12.75" customHeight="1" x14ac:dyDescent="0.25">
      <c r="C1099" s="6"/>
      <c r="D1099" s="24"/>
      <c r="E1099" s="6"/>
      <c r="F1099" s="24"/>
      <c r="I1099" s="6"/>
      <c r="M1099" s="24"/>
    </row>
    <row r="1100" spans="3:13" ht="12.75" customHeight="1" x14ac:dyDescent="0.25">
      <c r="C1100" s="6"/>
      <c r="D1100" s="24"/>
      <c r="E1100" s="6"/>
      <c r="F1100" s="24"/>
      <c r="I1100" s="6"/>
      <c r="M1100" s="24"/>
    </row>
    <row r="1101" spans="3:13" ht="12.75" customHeight="1" x14ac:dyDescent="0.25">
      <c r="C1101" s="6"/>
      <c r="D1101" s="24"/>
      <c r="E1101" s="6"/>
      <c r="F1101" s="24"/>
      <c r="I1101" s="6"/>
      <c r="M1101" s="24"/>
    </row>
    <row r="1102" spans="3:13" ht="12.75" customHeight="1" x14ac:dyDescent="0.25">
      <c r="C1102" s="6"/>
      <c r="D1102" s="24"/>
      <c r="E1102" s="6"/>
      <c r="F1102" s="24"/>
      <c r="I1102" s="6"/>
      <c r="M1102" s="24"/>
    </row>
    <row r="1103" spans="3:13" ht="12.75" customHeight="1" x14ac:dyDescent="0.25">
      <c r="C1103" s="6"/>
      <c r="D1103" s="24"/>
      <c r="E1103" s="6"/>
      <c r="F1103" s="24"/>
      <c r="I1103" s="6"/>
      <c r="M1103" s="24"/>
    </row>
    <row r="1104" spans="3:13" ht="12.75" customHeight="1" x14ac:dyDescent="0.25">
      <c r="C1104" s="6"/>
      <c r="D1104" s="24"/>
      <c r="E1104" s="6"/>
      <c r="F1104" s="24"/>
      <c r="I1104" s="6"/>
      <c r="M1104" s="24"/>
    </row>
    <row r="1105" spans="3:13" ht="12.75" customHeight="1" x14ac:dyDescent="0.25">
      <c r="C1105" s="6"/>
      <c r="D1105" s="24"/>
      <c r="E1105" s="6"/>
      <c r="F1105" s="24"/>
      <c r="I1105" s="6"/>
      <c r="M1105" s="24"/>
    </row>
    <row r="1106" spans="3:13" ht="12.75" customHeight="1" x14ac:dyDescent="0.25">
      <c r="C1106" s="6"/>
      <c r="D1106" s="24"/>
      <c r="E1106" s="6"/>
      <c r="F1106" s="24"/>
      <c r="I1106" s="6"/>
      <c r="M1106" s="24"/>
    </row>
    <row r="1107" spans="3:13" ht="12.75" customHeight="1" x14ac:dyDescent="0.25">
      <c r="C1107" s="6"/>
      <c r="D1107" s="24"/>
      <c r="E1107" s="6"/>
      <c r="F1107" s="24"/>
      <c r="I1107" s="6"/>
      <c r="M1107" s="24"/>
    </row>
    <row r="1108" spans="3:13" ht="12.75" customHeight="1" x14ac:dyDescent="0.25">
      <c r="C1108" s="6"/>
      <c r="D1108" s="24"/>
      <c r="E1108" s="6"/>
      <c r="F1108" s="24"/>
      <c r="I1108" s="6"/>
      <c r="M1108" s="24"/>
    </row>
    <row r="1109" spans="3:13" ht="12.75" customHeight="1" x14ac:dyDescent="0.25">
      <c r="C1109" s="6"/>
      <c r="D1109" s="24"/>
      <c r="E1109" s="6"/>
      <c r="F1109" s="24"/>
      <c r="I1109" s="6"/>
      <c r="M1109" s="24"/>
    </row>
    <row r="1110" spans="3:13" ht="12.75" customHeight="1" x14ac:dyDescent="0.25">
      <c r="C1110" s="6"/>
      <c r="D1110" s="24"/>
      <c r="E1110" s="6"/>
      <c r="F1110" s="24"/>
      <c r="I1110" s="6"/>
      <c r="M1110" s="24"/>
    </row>
    <row r="1111" spans="3:13" ht="12.75" customHeight="1" x14ac:dyDescent="0.25">
      <c r="C1111" s="6"/>
      <c r="D1111" s="24"/>
      <c r="E1111" s="6"/>
      <c r="F1111" s="24"/>
      <c r="I1111" s="6"/>
      <c r="M1111" s="24"/>
    </row>
    <row r="1112" spans="3:13" ht="12.75" customHeight="1" x14ac:dyDescent="0.25">
      <c r="C1112" s="6"/>
      <c r="D1112" s="24"/>
      <c r="E1112" s="6"/>
      <c r="F1112" s="24"/>
      <c r="I1112" s="6"/>
      <c r="M1112" s="24"/>
    </row>
    <row r="1113" spans="3:13" ht="12.75" customHeight="1" x14ac:dyDescent="0.25">
      <c r="C1113" s="6"/>
      <c r="D1113" s="24"/>
      <c r="E1113" s="6"/>
      <c r="F1113" s="24"/>
      <c r="I1113" s="6"/>
      <c r="M1113" s="24"/>
    </row>
    <row r="1114" spans="3:13" ht="12.75" customHeight="1" x14ac:dyDescent="0.25">
      <c r="C1114" s="6"/>
      <c r="D1114" s="24"/>
      <c r="E1114" s="6"/>
      <c r="F1114" s="24"/>
      <c r="I1114" s="6"/>
      <c r="M1114" s="24"/>
    </row>
    <row r="1115" spans="3:13" ht="12.75" customHeight="1" x14ac:dyDescent="0.25">
      <c r="C1115" s="6"/>
      <c r="D1115" s="24"/>
      <c r="E1115" s="6"/>
      <c r="F1115" s="24"/>
      <c r="I1115" s="6"/>
      <c r="M1115" s="24"/>
    </row>
    <row r="1116" spans="3:13" ht="12.75" customHeight="1" x14ac:dyDescent="0.25">
      <c r="C1116" s="6"/>
      <c r="D1116" s="24"/>
      <c r="E1116" s="6"/>
      <c r="F1116" s="24"/>
      <c r="I1116" s="6"/>
      <c r="M1116" s="24"/>
    </row>
    <row r="1117" spans="3:13" ht="12.75" customHeight="1" x14ac:dyDescent="0.25">
      <c r="C1117" s="6"/>
      <c r="D1117" s="24"/>
      <c r="E1117" s="6"/>
      <c r="F1117" s="24"/>
      <c r="I1117" s="6"/>
      <c r="M1117" s="24"/>
    </row>
    <row r="1118" spans="3:13" ht="12.75" customHeight="1" x14ac:dyDescent="0.25">
      <c r="C1118" s="6"/>
      <c r="D1118" s="24"/>
      <c r="E1118" s="6"/>
      <c r="F1118" s="24"/>
      <c r="I1118" s="6"/>
      <c r="M1118" s="24"/>
    </row>
    <row r="1119" spans="3:13" ht="12.75" customHeight="1" x14ac:dyDescent="0.25">
      <c r="C1119" s="6"/>
      <c r="D1119" s="24"/>
      <c r="E1119" s="6"/>
      <c r="F1119" s="24"/>
      <c r="I1119" s="6"/>
      <c r="M1119" s="24"/>
    </row>
    <row r="1120" spans="3:13" ht="12.75" customHeight="1" x14ac:dyDescent="0.25">
      <c r="C1120" s="6"/>
      <c r="D1120" s="24"/>
      <c r="E1120" s="6"/>
      <c r="F1120" s="24"/>
      <c r="I1120" s="6"/>
      <c r="M1120" s="24"/>
    </row>
    <row r="1121" spans="3:13" ht="12.75" customHeight="1" x14ac:dyDescent="0.25">
      <c r="C1121" s="6"/>
      <c r="D1121" s="24"/>
      <c r="E1121" s="6"/>
      <c r="F1121" s="24"/>
      <c r="I1121" s="6"/>
      <c r="M1121" s="24"/>
    </row>
    <row r="1122" spans="3:13" ht="12.75" customHeight="1" x14ac:dyDescent="0.25">
      <c r="C1122" s="6"/>
      <c r="D1122" s="24"/>
      <c r="E1122" s="6"/>
      <c r="F1122" s="24"/>
      <c r="I1122" s="6"/>
      <c r="M1122" s="24"/>
    </row>
    <row r="1123" spans="3:13" ht="12.75" customHeight="1" x14ac:dyDescent="0.25">
      <c r="C1123" s="6"/>
      <c r="D1123" s="24"/>
      <c r="E1123" s="6"/>
      <c r="F1123" s="24"/>
      <c r="I1123" s="6"/>
      <c r="M1123" s="24"/>
    </row>
    <row r="1124" spans="3:13" ht="12.75" customHeight="1" x14ac:dyDescent="0.25">
      <c r="C1124" s="6"/>
      <c r="D1124" s="24"/>
      <c r="E1124" s="6"/>
      <c r="F1124" s="24"/>
      <c r="I1124" s="6"/>
      <c r="M1124" s="24"/>
    </row>
    <row r="1125" spans="3:13" ht="12.75" customHeight="1" x14ac:dyDescent="0.25">
      <c r="C1125" s="6"/>
      <c r="D1125" s="24"/>
      <c r="E1125" s="6"/>
      <c r="F1125" s="24"/>
      <c r="I1125" s="6"/>
      <c r="M1125" s="24"/>
    </row>
    <row r="1126" spans="3:13" ht="12.75" customHeight="1" x14ac:dyDescent="0.25">
      <c r="C1126" s="6"/>
      <c r="D1126" s="24"/>
      <c r="E1126" s="6"/>
      <c r="F1126" s="24"/>
      <c r="I1126" s="6"/>
      <c r="M1126" s="24"/>
    </row>
    <row r="1127" spans="3:13" ht="12.75" customHeight="1" x14ac:dyDescent="0.25">
      <c r="C1127" s="6"/>
      <c r="D1127" s="24"/>
      <c r="E1127" s="6"/>
      <c r="F1127" s="24"/>
      <c r="I1127" s="6"/>
      <c r="M1127" s="24"/>
    </row>
    <row r="1128" spans="3:13" ht="12.75" customHeight="1" x14ac:dyDescent="0.25">
      <c r="C1128" s="6"/>
      <c r="D1128" s="24"/>
      <c r="E1128" s="6"/>
      <c r="F1128" s="24"/>
      <c r="I1128" s="6"/>
      <c r="M1128" s="24"/>
    </row>
    <row r="1129" spans="3:13" ht="12.75" customHeight="1" x14ac:dyDescent="0.25">
      <c r="C1129" s="6"/>
      <c r="D1129" s="24"/>
      <c r="E1129" s="6"/>
      <c r="F1129" s="24"/>
      <c r="I1129" s="6"/>
      <c r="M1129" s="24"/>
    </row>
    <row r="1130" spans="3:13" ht="12.75" customHeight="1" x14ac:dyDescent="0.25">
      <c r="C1130" s="6"/>
      <c r="D1130" s="24"/>
      <c r="E1130" s="6"/>
      <c r="F1130" s="24"/>
      <c r="I1130" s="6"/>
      <c r="M1130" s="24"/>
    </row>
    <row r="1131" spans="3:13" ht="12.75" customHeight="1" x14ac:dyDescent="0.25">
      <c r="C1131" s="6"/>
      <c r="D1131" s="24"/>
      <c r="E1131" s="6"/>
      <c r="F1131" s="24"/>
      <c r="I1131" s="6"/>
      <c r="M1131" s="24"/>
    </row>
    <row r="1132" spans="3:13" ht="12.75" customHeight="1" x14ac:dyDescent="0.25">
      <c r="C1132" s="6"/>
      <c r="D1132" s="24"/>
      <c r="E1132" s="6"/>
      <c r="F1132" s="24"/>
      <c r="I1132" s="6"/>
      <c r="M1132" s="24"/>
    </row>
    <row r="1133" spans="3:13" ht="12.75" customHeight="1" x14ac:dyDescent="0.25">
      <c r="C1133" s="6"/>
      <c r="D1133" s="24"/>
      <c r="E1133" s="6"/>
      <c r="F1133" s="24"/>
      <c r="I1133" s="6"/>
      <c r="M1133" s="24"/>
    </row>
    <row r="1134" spans="3:13" ht="12.75" customHeight="1" x14ac:dyDescent="0.25">
      <c r="C1134" s="6"/>
      <c r="D1134" s="24"/>
      <c r="E1134" s="6"/>
      <c r="F1134" s="24"/>
      <c r="I1134" s="6"/>
      <c r="M1134" s="24"/>
    </row>
    <row r="1135" spans="3:13" ht="12.75" customHeight="1" x14ac:dyDescent="0.25">
      <c r="C1135" s="6"/>
      <c r="D1135" s="24"/>
      <c r="E1135" s="6"/>
      <c r="F1135" s="24"/>
      <c r="I1135" s="6"/>
      <c r="M1135" s="24"/>
    </row>
    <row r="1136" spans="3:13" ht="12.75" customHeight="1" x14ac:dyDescent="0.25">
      <c r="C1136" s="6"/>
      <c r="D1136" s="24"/>
      <c r="E1136" s="6"/>
      <c r="F1136" s="24"/>
      <c r="I1136" s="6"/>
      <c r="M1136" s="24"/>
    </row>
    <row r="1137" spans="3:13" ht="12.75" customHeight="1" x14ac:dyDescent="0.25">
      <c r="C1137" s="6"/>
      <c r="D1137" s="24"/>
      <c r="E1137" s="6"/>
      <c r="F1137" s="24"/>
      <c r="I1137" s="6"/>
      <c r="M1137" s="24"/>
    </row>
    <row r="1138" spans="3:13" ht="12.75" customHeight="1" x14ac:dyDescent="0.25">
      <c r="C1138" s="6"/>
      <c r="D1138" s="24"/>
      <c r="E1138" s="6"/>
      <c r="F1138" s="24"/>
      <c r="I1138" s="6"/>
      <c r="M1138" s="24"/>
    </row>
    <row r="1139" spans="3:13" ht="12.75" customHeight="1" x14ac:dyDescent="0.25">
      <c r="C1139" s="6"/>
      <c r="D1139" s="24"/>
      <c r="E1139" s="6"/>
      <c r="F1139" s="24"/>
      <c r="I1139" s="6"/>
      <c r="M1139" s="24"/>
    </row>
    <row r="1140" spans="3:13" ht="12.75" customHeight="1" x14ac:dyDescent="0.25">
      <c r="C1140" s="6"/>
      <c r="D1140" s="24"/>
      <c r="E1140" s="6"/>
      <c r="F1140" s="24"/>
      <c r="I1140" s="6"/>
      <c r="M1140" s="24"/>
    </row>
    <row r="1141" spans="3:13" ht="12.75" customHeight="1" x14ac:dyDescent="0.25">
      <c r="C1141" s="6"/>
      <c r="D1141" s="24"/>
      <c r="E1141" s="6"/>
      <c r="F1141" s="24"/>
      <c r="I1141" s="6"/>
      <c r="M1141" s="24"/>
    </row>
    <row r="1142" spans="3:13" ht="12.75" customHeight="1" x14ac:dyDescent="0.25">
      <c r="C1142" s="6"/>
      <c r="D1142" s="24"/>
      <c r="E1142" s="6"/>
      <c r="F1142" s="24"/>
      <c r="I1142" s="6"/>
      <c r="M1142" s="24"/>
    </row>
    <row r="1143" spans="3:13" ht="12.75" customHeight="1" x14ac:dyDescent="0.25">
      <c r="C1143" s="6"/>
      <c r="D1143" s="24"/>
      <c r="E1143" s="6"/>
      <c r="F1143" s="24"/>
      <c r="I1143" s="6"/>
      <c r="M1143" s="24"/>
    </row>
    <row r="1144" spans="3:13" ht="12.75" customHeight="1" x14ac:dyDescent="0.25">
      <c r="C1144" s="6"/>
      <c r="D1144" s="24"/>
      <c r="E1144" s="6"/>
      <c r="F1144" s="24"/>
      <c r="I1144" s="6"/>
      <c r="M1144" s="24"/>
    </row>
    <row r="1145" spans="3:13" ht="12.75" customHeight="1" x14ac:dyDescent="0.25">
      <c r="C1145" s="6"/>
      <c r="D1145" s="24"/>
      <c r="E1145" s="6"/>
      <c r="F1145" s="24"/>
      <c r="I1145" s="6"/>
      <c r="M1145" s="24"/>
    </row>
    <row r="1146" spans="3:13" ht="12.75" customHeight="1" x14ac:dyDescent="0.25">
      <c r="C1146" s="6"/>
      <c r="D1146" s="24"/>
      <c r="E1146" s="6"/>
      <c r="F1146" s="24"/>
      <c r="I1146" s="6"/>
      <c r="M1146" s="24"/>
    </row>
    <row r="1147" spans="3:13" ht="12.75" customHeight="1" x14ac:dyDescent="0.25">
      <c r="C1147" s="6"/>
      <c r="D1147" s="24"/>
      <c r="E1147" s="6"/>
      <c r="F1147" s="24"/>
      <c r="I1147" s="6"/>
      <c r="M1147" s="24"/>
    </row>
    <row r="1148" spans="3:13" ht="12.75" customHeight="1" x14ac:dyDescent="0.25">
      <c r="C1148" s="6"/>
      <c r="D1148" s="24"/>
      <c r="E1148" s="6"/>
      <c r="F1148" s="24"/>
      <c r="I1148" s="6"/>
      <c r="M1148" s="24"/>
    </row>
    <row r="1149" spans="3:13" ht="12.75" customHeight="1" x14ac:dyDescent="0.25">
      <c r="C1149" s="6"/>
      <c r="D1149" s="24"/>
      <c r="E1149" s="6"/>
      <c r="F1149" s="24"/>
      <c r="I1149" s="6"/>
      <c r="M1149" s="24"/>
    </row>
    <row r="1150" spans="3:13" ht="12.75" customHeight="1" x14ac:dyDescent="0.25">
      <c r="C1150" s="6"/>
      <c r="D1150" s="24"/>
      <c r="E1150" s="6"/>
      <c r="F1150" s="24"/>
      <c r="I1150" s="6"/>
      <c r="M1150" s="24"/>
    </row>
    <row r="1151" spans="3:13" ht="12.75" customHeight="1" x14ac:dyDescent="0.25">
      <c r="C1151" s="6"/>
      <c r="D1151" s="24"/>
      <c r="E1151" s="6"/>
      <c r="F1151" s="24"/>
      <c r="I1151" s="6"/>
      <c r="M1151" s="24"/>
    </row>
    <row r="1152" spans="3:13" ht="12.75" customHeight="1" x14ac:dyDescent="0.25">
      <c r="C1152" s="6"/>
      <c r="D1152" s="24"/>
      <c r="E1152" s="6"/>
      <c r="F1152" s="24"/>
      <c r="I1152" s="6"/>
      <c r="M1152" s="24"/>
    </row>
    <row r="1153" spans="3:13" ht="12.75" customHeight="1" x14ac:dyDescent="0.25">
      <c r="C1153" s="6"/>
      <c r="D1153" s="24"/>
      <c r="E1153" s="6"/>
      <c r="F1153" s="24"/>
      <c r="I1153" s="6"/>
      <c r="M1153" s="24"/>
    </row>
    <row r="1154" spans="3:13" ht="12.75" customHeight="1" x14ac:dyDescent="0.25">
      <c r="C1154" s="6"/>
      <c r="D1154" s="24"/>
      <c r="E1154" s="6"/>
      <c r="F1154" s="24"/>
      <c r="I1154" s="6"/>
      <c r="M1154" s="24"/>
    </row>
    <row r="1155" spans="3:13" ht="12.75" customHeight="1" x14ac:dyDescent="0.25">
      <c r="C1155" s="6"/>
      <c r="D1155" s="24"/>
      <c r="E1155" s="6"/>
      <c r="F1155" s="24"/>
      <c r="I1155" s="6"/>
      <c r="M1155" s="24"/>
    </row>
    <row r="1156" spans="3:13" ht="12.75" customHeight="1" x14ac:dyDescent="0.25">
      <c r="C1156" s="6"/>
      <c r="D1156" s="24"/>
      <c r="E1156" s="6"/>
      <c r="F1156" s="24"/>
      <c r="I1156" s="6"/>
      <c r="M1156" s="24"/>
    </row>
    <row r="1157" spans="3:13" ht="12.75" customHeight="1" x14ac:dyDescent="0.25">
      <c r="C1157" s="6"/>
      <c r="D1157" s="24"/>
      <c r="E1157" s="6"/>
      <c r="F1157" s="24"/>
      <c r="I1157" s="6"/>
      <c r="M1157" s="24"/>
    </row>
    <row r="1158" spans="3:13" ht="12.75" customHeight="1" x14ac:dyDescent="0.25">
      <c r="C1158" s="6"/>
      <c r="D1158" s="24"/>
      <c r="E1158" s="6"/>
      <c r="F1158" s="24"/>
      <c r="I1158" s="6"/>
      <c r="M1158" s="24"/>
    </row>
    <row r="1159" spans="3:13" ht="12.75" customHeight="1" x14ac:dyDescent="0.25">
      <c r="C1159" s="6"/>
      <c r="D1159" s="24"/>
      <c r="E1159" s="6"/>
      <c r="F1159" s="24"/>
      <c r="I1159" s="6"/>
      <c r="M1159" s="24"/>
    </row>
    <row r="1160" spans="3:13" ht="12.75" customHeight="1" x14ac:dyDescent="0.25">
      <c r="C1160" s="6"/>
      <c r="D1160" s="24"/>
      <c r="E1160" s="6"/>
      <c r="F1160" s="24"/>
      <c r="I1160" s="6"/>
      <c r="M1160" s="24"/>
    </row>
    <row r="1161" spans="3:13" ht="12.75" customHeight="1" x14ac:dyDescent="0.25">
      <c r="C1161" s="6"/>
      <c r="D1161" s="24"/>
      <c r="E1161" s="6"/>
      <c r="F1161" s="24"/>
      <c r="I1161" s="6"/>
      <c r="M1161" s="24"/>
    </row>
    <row r="1162" spans="3:13" ht="12.75" customHeight="1" x14ac:dyDescent="0.25">
      <c r="C1162" s="6"/>
      <c r="D1162" s="24"/>
      <c r="E1162" s="6"/>
      <c r="F1162" s="24"/>
      <c r="I1162" s="6"/>
      <c r="M1162" s="24"/>
    </row>
    <row r="1163" spans="3:13" ht="12.75" customHeight="1" x14ac:dyDescent="0.25">
      <c r="C1163" s="6"/>
      <c r="D1163" s="24"/>
      <c r="E1163" s="6"/>
      <c r="F1163" s="24"/>
      <c r="I1163" s="6"/>
      <c r="M1163" s="24"/>
    </row>
    <row r="1164" spans="3:13" ht="12.75" customHeight="1" x14ac:dyDescent="0.25">
      <c r="C1164" s="6"/>
      <c r="D1164" s="24"/>
      <c r="E1164" s="6"/>
      <c r="F1164" s="24"/>
      <c r="I1164" s="6"/>
      <c r="M1164" s="24"/>
    </row>
    <row r="1165" spans="3:13" ht="12.75" customHeight="1" x14ac:dyDescent="0.25">
      <c r="C1165" s="6"/>
      <c r="D1165" s="24"/>
      <c r="E1165" s="6"/>
      <c r="F1165" s="24"/>
      <c r="I1165" s="6"/>
      <c r="M1165" s="24"/>
    </row>
    <row r="1166" spans="3:13" ht="12.75" customHeight="1" x14ac:dyDescent="0.25">
      <c r="C1166" s="6"/>
      <c r="D1166" s="24"/>
      <c r="E1166" s="6"/>
      <c r="F1166" s="24"/>
      <c r="I1166" s="6"/>
      <c r="M1166" s="24"/>
    </row>
    <row r="1167" spans="3:13" ht="12.75" customHeight="1" x14ac:dyDescent="0.25">
      <c r="C1167" s="6"/>
      <c r="D1167" s="24"/>
      <c r="E1167" s="6"/>
      <c r="F1167" s="24"/>
      <c r="I1167" s="6"/>
      <c r="M1167" s="24"/>
    </row>
    <row r="1168" spans="3:13" ht="12.75" customHeight="1" x14ac:dyDescent="0.25">
      <c r="C1168" s="6"/>
      <c r="D1168" s="24"/>
      <c r="E1168" s="6"/>
      <c r="F1168" s="24"/>
      <c r="I1168" s="6"/>
      <c r="M1168" s="24"/>
    </row>
    <row r="1169" spans="3:13" ht="12.75" customHeight="1" x14ac:dyDescent="0.25">
      <c r="C1169" s="6"/>
      <c r="D1169" s="24"/>
      <c r="E1169" s="6"/>
      <c r="F1169" s="24"/>
      <c r="I1169" s="6"/>
      <c r="M1169" s="24"/>
    </row>
    <row r="1170" spans="3:13" ht="12.75" customHeight="1" x14ac:dyDescent="0.25">
      <c r="C1170" s="6"/>
      <c r="D1170" s="24"/>
      <c r="E1170" s="6"/>
      <c r="F1170" s="24"/>
      <c r="I1170" s="6"/>
      <c r="M1170" s="24"/>
    </row>
    <row r="1171" spans="3:13" ht="12.75" customHeight="1" x14ac:dyDescent="0.25">
      <c r="C1171" s="6"/>
      <c r="D1171" s="24"/>
      <c r="E1171" s="6"/>
      <c r="F1171" s="24"/>
      <c r="I1171" s="6"/>
      <c r="M1171" s="24"/>
    </row>
    <row r="1172" spans="3:13" ht="12.75" customHeight="1" x14ac:dyDescent="0.25">
      <c r="C1172" s="6"/>
      <c r="D1172" s="24"/>
      <c r="E1172" s="6"/>
      <c r="F1172" s="24"/>
      <c r="I1172" s="6"/>
      <c r="M1172" s="24"/>
    </row>
    <row r="1173" spans="3:13" ht="12.75" customHeight="1" x14ac:dyDescent="0.25">
      <c r="C1173" s="6"/>
      <c r="D1173" s="24"/>
      <c r="E1173" s="6"/>
      <c r="F1173" s="24"/>
      <c r="I1173" s="6"/>
      <c r="M1173" s="24"/>
    </row>
    <row r="1174" spans="3:13" ht="12.75" customHeight="1" x14ac:dyDescent="0.25">
      <c r="C1174" s="6"/>
      <c r="D1174" s="24"/>
      <c r="E1174" s="6"/>
      <c r="F1174" s="24"/>
      <c r="I1174" s="6"/>
      <c r="M1174" s="24"/>
    </row>
    <row r="1175" spans="3:13" ht="12.75" customHeight="1" x14ac:dyDescent="0.25">
      <c r="C1175" s="6"/>
      <c r="D1175" s="24"/>
      <c r="E1175" s="6"/>
      <c r="F1175" s="24"/>
      <c r="I1175" s="6"/>
      <c r="M1175" s="24"/>
    </row>
    <row r="1176" spans="3:13" ht="12.75" customHeight="1" x14ac:dyDescent="0.25">
      <c r="C1176" s="6"/>
      <c r="D1176" s="24"/>
      <c r="E1176" s="6"/>
      <c r="F1176" s="24"/>
      <c r="I1176" s="6"/>
      <c r="M1176" s="24"/>
    </row>
    <row r="1177" spans="3:13" ht="12.75" customHeight="1" x14ac:dyDescent="0.25">
      <c r="C1177" s="6"/>
      <c r="D1177" s="24"/>
      <c r="E1177" s="6"/>
      <c r="F1177" s="24"/>
      <c r="I1177" s="6"/>
      <c r="M1177" s="24"/>
    </row>
    <row r="1178" spans="3:13" ht="12.75" customHeight="1" x14ac:dyDescent="0.25">
      <c r="C1178" s="6"/>
      <c r="D1178" s="24"/>
      <c r="E1178" s="6"/>
      <c r="F1178" s="24"/>
      <c r="I1178" s="6"/>
      <c r="M1178" s="24"/>
    </row>
    <row r="1179" spans="3:13" ht="12.75" customHeight="1" x14ac:dyDescent="0.25">
      <c r="C1179" s="6"/>
      <c r="D1179" s="24"/>
      <c r="E1179" s="6"/>
      <c r="F1179" s="24"/>
      <c r="I1179" s="6"/>
      <c r="M1179" s="24"/>
    </row>
    <row r="1180" spans="3:13" ht="12.75" customHeight="1" x14ac:dyDescent="0.25">
      <c r="C1180" s="6"/>
      <c r="D1180" s="24"/>
      <c r="E1180" s="6"/>
      <c r="F1180" s="24"/>
      <c r="I1180" s="6"/>
      <c r="M1180" s="24"/>
    </row>
    <row r="1181" spans="3:13" ht="12.75" customHeight="1" x14ac:dyDescent="0.25">
      <c r="C1181" s="6"/>
      <c r="D1181" s="24"/>
      <c r="E1181" s="6"/>
      <c r="F1181" s="24"/>
      <c r="I1181" s="6"/>
      <c r="M1181" s="24"/>
    </row>
    <row r="1182" spans="3:13" ht="12.75" customHeight="1" x14ac:dyDescent="0.25">
      <c r="C1182" s="6"/>
      <c r="D1182" s="24"/>
      <c r="E1182" s="6"/>
      <c r="F1182" s="24"/>
      <c r="I1182" s="6"/>
      <c r="M1182" s="24"/>
    </row>
    <row r="1183" spans="3:13" ht="12.75" customHeight="1" x14ac:dyDescent="0.25">
      <c r="C1183" s="6"/>
      <c r="D1183" s="24"/>
      <c r="E1183" s="6"/>
      <c r="F1183" s="24"/>
      <c r="I1183" s="6"/>
      <c r="M1183" s="24"/>
    </row>
    <row r="1184" spans="3:13" ht="12.75" customHeight="1" x14ac:dyDescent="0.25">
      <c r="C1184" s="6"/>
      <c r="D1184" s="24"/>
      <c r="E1184" s="6"/>
      <c r="F1184" s="24"/>
      <c r="I1184" s="6"/>
      <c r="M1184" s="24"/>
    </row>
    <row r="1185" spans="3:13" ht="12.75" customHeight="1" x14ac:dyDescent="0.25">
      <c r="C1185" s="6"/>
      <c r="D1185" s="24"/>
      <c r="E1185" s="6"/>
      <c r="F1185" s="24"/>
      <c r="I1185" s="6"/>
      <c r="M1185" s="24"/>
    </row>
    <row r="1186" spans="3:13" ht="12.75" customHeight="1" x14ac:dyDescent="0.25">
      <c r="C1186" s="6"/>
      <c r="D1186" s="24"/>
      <c r="E1186" s="6"/>
      <c r="F1186" s="24"/>
      <c r="I1186" s="6"/>
      <c r="M1186" s="24"/>
    </row>
    <row r="1187" spans="3:13" ht="12.75" customHeight="1" x14ac:dyDescent="0.25">
      <c r="C1187" s="6"/>
      <c r="D1187" s="24"/>
      <c r="E1187" s="6"/>
      <c r="F1187" s="24"/>
      <c r="I1187" s="6"/>
      <c r="M1187" s="24"/>
    </row>
    <row r="1188" spans="3:13" ht="12.75" customHeight="1" x14ac:dyDescent="0.25">
      <c r="C1188" s="6"/>
      <c r="D1188" s="24"/>
      <c r="E1188" s="6"/>
      <c r="F1188" s="24"/>
      <c r="I1188" s="6"/>
      <c r="M1188" s="24"/>
    </row>
    <row r="1189" spans="3:13" ht="12.75" customHeight="1" x14ac:dyDescent="0.25">
      <c r="C1189" s="6"/>
      <c r="D1189" s="24"/>
      <c r="E1189" s="6"/>
      <c r="F1189" s="24"/>
      <c r="I1189" s="6"/>
      <c r="M1189" s="24"/>
    </row>
    <row r="1190" spans="3:13" ht="12.75" customHeight="1" x14ac:dyDescent="0.25">
      <c r="C1190" s="6"/>
      <c r="D1190" s="24"/>
      <c r="E1190" s="6"/>
      <c r="F1190" s="24"/>
      <c r="I1190" s="6"/>
      <c r="M1190" s="24"/>
    </row>
    <row r="1191" spans="3:13" ht="12.75" customHeight="1" x14ac:dyDescent="0.25">
      <c r="C1191" s="6"/>
      <c r="D1191" s="24"/>
      <c r="E1191" s="6"/>
      <c r="F1191" s="24"/>
      <c r="I1191" s="6"/>
      <c r="M1191" s="24"/>
    </row>
    <row r="1192" spans="3:13" ht="12.75" customHeight="1" x14ac:dyDescent="0.25">
      <c r="C1192" s="6"/>
      <c r="D1192" s="24"/>
      <c r="E1192" s="6"/>
      <c r="F1192" s="24"/>
      <c r="I1192" s="6"/>
      <c r="M1192" s="24"/>
    </row>
    <row r="1193" spans="3:13" ht="12.75" customHeight="1" x14ac:dyDescent="0.25">
      <c r="C1193" s="6"/>
      <c r="D1193" s="24"/>
      <c r="E1193" s="6"/>
      <c r="F1193" s="24"/>
      <c r="I1193" s="6"/>
      <c r="M1193" s="24"/>
    </row>
    <row r="1194" spans="3:13" ht="12.75" customHeight="1" x14ac:dyDescent="0.25">
      <c r="C1194" s="6"/>
      <c r="D1194" s="24"/>
      <c r="E1194" s="6"/>
      <c r="F1194" s="24"/>
      <c r="I1194" s="6"/>
      <c r="M1194" s="24"/>
    </row>
    <row r="1195" spans="3:13" ht="12.75" customHeight="1" x14ac:dyDescent="0.25">
      <c r="C1195" s="6"/>
      <c r="D1195" s="24"/>
      <c r="E1195" s="6"/>
      <c r="F1195" s="24"/>
      <c r="I1195" s="6"/>
      <c r="M1195" s="24"/>
    </row>
    <row r="1196" spans="3:13" ht="12.75" customHeight="1" x14ac:dyDescent="0.25">
      <c r="C1196" s="6"/>
      <c r="D1196" s="24"/>
      <c r="E1196" s="6"/>
      <c r="F1196" s="24"/>
      <c r="I1196" s="6"/>
      <c r="M1196" s="24"/>
    </row>
    <row r="1197" spans="3:13" ht="12.75" customHeight="1" x14ac:dyDescent="0.25">
      <c r="C1197" s="6"/>
      <c r="D1197" s="24"/>
      <c r="E1197" s="6"/>
      <c r="F1197" s="24"/>
      <c r="I1197" s="6"/>
      <c r="M1197" s="24"/>
    </row>
    <row r="1198" spans="3:13" ht="12.75" customHeight="1" x14ac:dyDescent="0.25">
      <c r="C1198" s="6"/>
      <c r="D1198" s="24"/>
      <c r="E1198" s="6"/>
      <c r="F1198" s="24"/>
      <c r="I1198" s="6"/>
      <c r="M1198" s="24"/>
    </row>
    <row r="1199" spans="3:13" ht="12.75" customHeight="1" x14ac:dyDescent="0.25">
      <c r="C1199" s="6"/>
      <c r="D1199" s="24"/>
      <c r="E1199" s="6"/>
      <c r="F1199" s="24"/>
      <c r="I1199" s="6"/>
      <c r="M1199" s="24"/>
    </row>
    <row r="1200" spans="3:13" ht="12.75" customHeight="1" x14ac:dyDescent="0.25">
      <c r="C1200" s="6"/>
      <c r="D1200" s="24"/>
      <c r="E1200" s="6"/>
      <c r="F1200" s="24"/>
      <c r="I1200" s="6"/>
      <c r="M1200" s="24"/>
    </row>
    <row r="1201" spans="3:13" ht="12.75" customHeight="1" x14ac:dyDescent="0.25">
      <c r="C1201" s="6"/>
      <c r="D1201" s="24"/>
      <c r="E1201" s="6"/>
      <c r="F1201" s="24"/>
      <c r="I1201" s="6"/>
      <c r="M1201" s="24"/>
    </row>
    <row r="1202" spans="3:13" ht="12.75" customHeight="1" x14ac:dyDescent="0.25">
      <c r="C1202" s="6"/>
      <c r="D1202" s="24"/>
      <c r="E1202" s="6"/>
      <c r="F1202" s="24"/>
      <c r="I1202" s="6"/>
      <c r="M1202" s="24"/>
    </row>
    <row r="1203" spans="3:13" ht="12.75" customHeight="1" x14ac:dyDescent="0.25">
      <c r="C1203" s="6"/>
      <c r="D1203" s="24"/>
      <c r="E1203" s="6"/>
      <c r="F1203" s="24"/>
      <c r="I1203" s="6"/>
      <c r="M1203" s="24"/>
    </row>
    <row r="1204" spans="3:13" ht="12.75" customHeight="1" x14ac:dyDescent="0.25">
      <c r="C1204" s="6"/>
      <c r="D1204" s="24"/>
      <c r="E1204" s="6"/>
      <c r="F1204" s="24"/>
      <c r="I1204" s="6"/>
      <c r="M1204" s="24"/>
    </row>
    <row r="1205" spans="3:13" ht="12.75" customHeight="1" x14ac:dyDescent="0.25">
      <c r="C1205" s="6"/>
      <c r="D1205" s="24"/>
      <c r="E1205" s="6"/>
      <c r="F1205" s="24"/>
      <c r="I1205" s="6"/>
      <c r="M1205" s="24"/>
    </row>
    <row r="1206" spans="3:13" ht="12.75" customHeight="1" x14ac:dyDescent="0.25">
      <c r="C1206" s="6"/>
      <c r="D1206" s="24"/>
      <c r="E1206" s="6"/>
      <c r="F1206" s="24"/>
      <c r="I1206" s="6"/>
      <c r="M1206" s="24"/>
    </row>
    <row r="1207" spans="3:13" ht="12.75" customHeight="1" x14ac:dyDescent="0.25">
      <c r="C1207" s="6"/>
      <c r="D1207" s="24"/>
      <c r="E1207" s="6"/>
      <c r="F1207" s="24"/>
      <c r="I1207" s="6"/>
      <c r="M1207" s="24"/>
    </row>
    <row r="1208" spans="3:13" ht="12.75" customHeight="1" x14ac:dyDescent="0.25">
      <c r="C1208" s="6"/>
      <c r="D1208" s="24"/>
      <c r="E1208" s="6"/>
      <c r="F1208" s="24"/>
      <c r="I1208" s="6"/>
      <c r="M1208" s="24"/>
    </row>
    <row r="1209" spans="3:13" ht="12.75" customHeight="1" x14ac:dyDescent="0.25">
      <c r="C1209" s="6"/>
      <c r="D1209" s="24"/>
      <c r="E1209" s="6"/>
      <c r="F1209" s="24"/>
      <c r="I1209" s="6"/>
      <c r="M1209" s="24"/>
    </row>
    <row r="1210" spans="3:13" ht="12.75" customHeight="1" x14ac:dyDescent="0.25">
      <c r="C1210" s="6"/>
      <c r="D1210" s="24"/>
      <c r="E1210" s="6"/>
      <c r="F1210" s="24"/>
      <c r="I1210" s="6"/>
      <c r="M1210" s="24"/>
    </row>
    <row r="1211" spans="3:13" ht="12.75" customHeight="1" x14ac:dyDescent="0.25">
      <c r="C1211" s="6"/>
      <c r="D1211" s="24"/>
      <c r="E1211" s="6"/>
      <c r="F1211" s="24"/>
      <c r="I1211" s="6"/>
      <c r="M1211" s="24"/>
    </row>
    <row r="1212" spans="3:13" ht="12.75" customHeight="1" x14ac:dyDescent="0.25">
      <c r="C1212" s="6"/>
      <c r="D1212" s="24"/>
      <c r="E1212" s="6"/>
      <c r="F1212" s="24"/>
      <c r="I1212" s="6"/>
      <c r="M1212" s="24"/>
    </row>
    <row r="1213" spans="3:13" ht="12.75" customHeight="1" x14ac:dyDescent="0.25">
      <c r="C1213" s="6"/>
      <c r="D1213" s="24"/>
      <c r="E1213" s="6"/>
      <c r="F1213" s="24"/>
      <c r="I1213" s="6"/>
      <c r="M1213" s="24"/>
    </row>
    <row r="1214" spans="3:13" ht="12.75" customHeight="1" x14ac:dyDescent="0.25">
      <c r="C1214" s="6"/>
      <c r="D1214" s="24"/>
      <c r="E1214" s="6"/>
      <c r="F1214" s="24"/>
      <c r="I1214" s="6"/>
      <c r="M1214" s="24"/>
    </row>
    <row r="1215" spans="3:13" ht="12.75" customHeight="1" x14ac:dyDescent="0.25">
      <c r="C1215" s="6"/>
      <c r="D1215" s="24"/>
      <c r="E1215" s="6"/>
      <c r="F1215" s="24"/>
      <c r="I1215" s="6"/>
      <c r="M1215" s="24"/>
    </row>
    <row r="1216" spans="3:13" ht="12.75" customHeight="1" x14ac:dyDescent="0.25">
      <c r="C1216" s="6"/>
      <c r="D1216" s="24"/>
      <c r="E1216" s="6"/>
      <c r="F1216" s="24"/>
      <c r="I1216" s="6"/>
      <c r="M1216" s="24"/>
    </row>
    <row r="1217" spans="3:13" ht="12.75" customHeight="1" x14ac:dyDescent="0.25">
      <c r="C1217" s="6"/>
      <c r="D1217" s="24"/>
      <c r="E1217" s="6"/>
      <c r="F1217" s="24"/>
      <c r="I1217" s="6"/>
      <c r="M1217" s="24"/>
    </row>
    <row r="1218" spans="3:13" ht="12.75" customHeight="1" x14ac:dyDescent="0.25">
      <c r="C1218" s="6"/>
      <c r="D1218" s="24"/>
      <c r="E1218" s="6"/>
      <c r="F1218" s="24"/>
      <c r="I1218" s="6"/>
      <c r="M1218" s="24"/>
    </row>
    <row r="1219" spans="3:13" ht="12.75" customHeight="1" x14ac:dyDescent="0.25">
      <c r="C1219" s="6"/>
      <c r="D1219" s="24"/>
      <c r="E1219" s="6"/>
      <c r="F1219" s="24"/>
      <c r="I1219" s="6"/>
      <c r="M1219" s="24"/>
    </row>
    <row r="1220" spans="3:13" ht="12.75" customHeight="1" x14ac:dyDescent="0.25">
      <c r="C1220" s="6"/>
      <c r="D1220" s="24"/>
      <c r="E1220" s="6"/>
      <c r="F1220" s="24"/>
      <c r="I1220" s="6"/>
      <c r="M1220" s="24"/>
    </row>
    <row r="1221" spans="3:13" ht="12.75" customHeight="1" x14ac:dyDescent="0.25">
      <c r="C1221" s="6"/>
      <c r="D1221" s="24"/>
      <c r="E1221" s="6"/>
      <c r="F1221" s="24"/>
      <c r="I1221" s="6"/>
      <c r="M1221" s="24"/>
    </row>
    <row r="1222" spans="3:13" ht="12.75" customHeight="1" x14ac:dyDescent="0.25">
      <c r="C1222" s="6"/>
      <c r="D1222" s="24"/>
      <c r="E1222" s="6"/>
      <c r="F1222" s="24"/>
      <c r="I1222" s="6"/>
      <c r="M1222" s="24"/>
    </row>
    <row r="1223" spans="3:13" ht="12.75" customHeight="1" x14ac:dyDescent="0.25">
      <c r="C1223" s="6"/>
      <c r="D1223" s="24"/>
      <c r="E1223" s="6"/>
      <c r="F1223" s="24"/>
      <c r="I1223" s="6"/>
      <c r="M1223" s="24"/>
    </row>
    <row r="1224" spans="3:13" ht="12.75" customHeight="1" x14ac:dyDescent="0.25">
      <c r="C1224" s="6"/>
      <c r="D1224" s="24"/>
      <c r="E1224" s="6"/>
      <c r="F1224" s="24"/>
      <c r="I1224" s="6"/>
      <c r="M1224" s="24"/>
    </row>
    <row r="1225" spans="3:13" ht="12.75" customHeight="1" x14ac:dyDescent="0.25">
      <c r="C1225" s="6"/>
      <c r="D1225" s="24"/>
      <c r="E1225" s="6"/>
      <c r="F1225" s="24"/>
      <c r="I1225" s="6"/>
      <c r="M1225" s="24"/>
    </row>
    <row r="1226" spans="3:13" ht="12.75" customHeight="1" x14ac:dyDescent="0.25">
      <c r="C1226" s="6"/>
      <c r="D1226" s="24"/>
      <c r="E1226" s="6"/>
      <c r="F1226" s="24"/>
      <c r="I1226" s="6"/>
      <c r="M1226" s="24"/>
    </row>
    <row r="1227" spans="3:13" ht="12.75" customHeight="1" x14ac:dyDescent="0.25">
      <c r="C1227" s="6"/>
      <c r="D1227" s="24"/>
      <c r="E1227" s="6"/>
      <c r="F1227" s="24"/>
      <c r="I1227" s="6"/>
      <c r="M1227" s="24"/>
    </row>
    <row r="1228" spans="3:13" ht="12.75" customHeight="1" x14ac:dyDescent="0.25">
      <c r="C1228" s="6"/>
      <c r="D1228" s="24"/>
      <c r="E1228" s="6"/>
      <c r="F1228" s="24"/>
      <c r="I1228" s="6"/>
      <c r="M1228" s="24"/>
    </row>
    <row r="1229" spans="3:13" ht="12.75" customHeight="1" x14ac:dyDescent="0.25">
      <c r="C1229" s="6"/>
      <c r="D1229" s="24"/>
      <c r="E1229" s="6"/>
      <c r="F1229" s="24"/>
      <c r="I1229" s="6"/>
      <c r="M1229" s="24"/>
    </row>
    <row r="1230" spans="3:13" ht="12.75" customHeight="1" x14ac:dyDescent="0.25">
      <c r="C1230" s="6"/>
      <c r="D1230" s="24"/>
      <c r="E1230" s="6"/>
      <c r="F1230" s="24"/>
      <c r="I1230" s="6"/>
      <c r="M1230" s="24"/>
    </row>
    <row r="1231" spans="3:13" ht="12.75" customHeight="1" x14ac:dyDescent="0.25">
      <c r="C1231" s="6"/>
      <c r="D1231" s="24"/>
      <c r="E1231" s="6"/>
      <c r="F1231" s="24"/>
      <c r="I1231" s="6"/>
      <c r="M1231" s="24"/>
    </row>
    <row r="1232" spans="3:13" ht="12.75" customHeight="1" x14ac:dyDescent="0.25">
      <c r="C1232" s="6"/>
      <c r="D1232" s="24"/>
      <c r="E1232" s="6"/>
      <c r="F1232" s="24"/>
      <c r="I1232" s="6"/>
      <c r="M1232" s="24"/>
    </row>
    <row r="1233" spans="3:13" ht="12.75" customHeight="1" x14ac:dyDescent="0.25">
      <c r="C1233" s="6"/>
      <c r="D1233" s="24"/>
      <c r="E1233" s="6"/>
      <c r="F1233" s="24"/>
      <c r="I1233" s="6"/>
      <c r="M1233" s="24"/>
    </row>
    <row r="1234" spans="3:13" ht="12.75" customHeight="1" x14ac:dyDescent="0.25">
      <c r="C1234" s="6"/>
      <c r="D1234" s="24"/>
      <c r="E1234" s="6"/>
      <c r="F1234" s="24"/>
      <c r="I1234" s="6"/>
      <c r="M1234" s="24"/>
    </row>
    <row r="1235" spans="3:13" ht="12.75" customHeight="1" x14ac:dyDescent="0.25">
      <c r="C1235" s="6"/>
      <c r="D1235" s="24"/>
      <c r="E1235" s="6"/>
      <c r="F1235" s="24"/>
      <c r="I1235" s="6"/>
      <c r="M1235" s="24"/>
    </row>
    <row r="1236" spans="3:13" ht="12.75" customHeight="1" x14ac:dyDescent="0.25">
      <c r="C1236" s="6"/>
      <c r="D1236" s="24"/>
      <c r="E1236" s="6"/>
      <c r="F1236" s="24"/>
      <c r="I1236" s="6"/>
      <c r="M1236" s="24"/>
    </row>
    <row r="1237" spans="3:13" ht="12.75" customHeight="1" x14ac:dyDescent="0.25">
      <c r="C1237" s="6"/>
      <c r="D1237" s="24"/>
      <c r="E1237" s="6"/>
      <c r="F1237" s="24"/>
      <c r="I1237" s="6"/>
      <c r="M1237" s="24"/>
    </row>
    <row r="1238" spans="3:13" ht="12.75" customHeight="1" x14ac:dyDescent="0.25">
      <c r="C1238" s="6"/>
      <c r="D1238" s="24"/>
      <c r="E1238" s="6"/>
      <c r="F1238" s="24"/>
      <c r="I1238" s="6"/>
      <c r="M1238" s="24"/>
    </row>
    <row r="1239" spans="3:13" ht="12.75" customHeight="1" x14ac:dyDescent="0.25">
      <c r="C1239" s="6"/>
      <c r="D1239" s="24"/>
      <c r="E1239" s="6"/>
      <c r="F1239" s="24"/>
      <c r="I1239" s="6"/>
      <c r="M1239" s="24"/>
    </row>
    <row r="1240" spans="3:13" ht="12.75" customHeight="1" x14ac:dyDescent="0.25">
      <c r="C1240" s="6"/>
      <c r="D1240" s="24"/>
      <c r="E1240" s="6"/>
      <c r="F1240" s="24"/>
      <c r="I1240" s="6"/>
      <c r="M1240" s="24"/>
    </row>
    <row r="1241" spans="3:13" ht="12.75" customHeight="1" x14ac:dyDescent="0.25">
      <c r="C1241" s="6"/>
      <c r="D1241" s="24"/>
      <c r="E1241" s="6"/>
      <c r="F1241" s="24"/>
      <c r="I1241" s="6"/>
      <c r="M1241" s="24"/>
    </row>
    <row r="1242" spans="3:13" ht="12.75" customHeight="1" x14ac:dyDescent="0.25">
      <c r="C1242" s="6"/>
      <c r="D1242" s="24"/>
      <c r="E1242" s="6"/>
      <c r="F1242" s="24"/>
      <c r="I1242" s="6"/>
      <c r="M1242" s="24"/>
    </row>
    <row r="1243" spans="3:13" ht="12.75" customHeight="1" x14ac:dyDescent="0.25"/>
    <row r="1244" spans="3:13" ht="15.75" customHeight="1" x14ac:dyDescent="0.25"/>
    <row r="1245" spans="3:13" ht="15.75" customHeight="1" x14ac:dyDescent="0.25"/>
    <row r="1246" spans="3:13" ht="12.75" customHeight="1" x14ac:dyDescent="0.25"/>
    <row r="1247" spans="3:13" ht="12.75" customHeight="1" x14ac:dyDescent="0.25"/>
    <row r="1248" spans="3:13" ht="12.75" customHeight="1" x14ac:dyDescent="0.25"/>
    <row r="1249" ht="12.75" customHeight="1" x14ac:dyDescent="0.25"/>
    <row r="1250" ht="12.75" customHeight="1" x14ac:dyDescent="0.25"/>
    <row r="1251" ht="12.75" customHeight="1" x14ac:dyDescent="0.25"/>
    <row r="1252" ht="12.75" customHeight="1" x14ac:dyDescent="0.25"/>
    <row r="1253" ht="12.75" customHeight="1" x14ac:dyDescent="0.25"/>
    <row r="1254" ht="12.75" customHeight="1" x14ac:dyDescent="0.25"/>
    <row r="1255" ht="12.75" customHeight="1" x14ac:dyDescent="0.25"/>
    <row r="1256" ht="12.75" customHeight="1" x14ac:dyDescent="0.25"/>
    <row r="1257" ht="12.75" customHeight="1" x14ac:dyDescent="0.25"/>
    <row r="1258" ht="12.75" customHeight="1" x14ac:dyDescent="0.25"/>
    <row r="1259" ht="12.75" customHeight="1" x14ac:dyDescent="0.25"/>
    <row r="1260" ht="12.75" customHeight="1" x14ac:dyDescent="0.25"/>
    <row r="1261" ht="12.75" customHeight="1" x14ac:dyDescent="0.25"/>
    <row r="1262" ht="12.75" customHeight="1" x14ac:dyDescent="0.25"/>
    <row r="1263" ht="12.75" customHeight="1" x14ac:dyDescent="0.25"/>
    <row r="1264" ht="12.75" customHeight="1" x14ac:dyDescent="0.25"/>
    <row r="1265" ht="12.75" customHeight="1" x14ac:dyDescent="0.25"/>
    <row r="1266" ht="12.75" customHeight="1" x14ac:dyDescent="0.25"/>
    <row r="1267" ht="12.75" customHeight="1" x14ac:dyDescent="0.25"/>
    <row r="1268" ht="12.75" customHeight="1" x14ac:dyDescent="0.25"/>
    <row r="1269" ht="12.75" customHeight="1" x14ac:dyDescent="0.25"/>
    <row r="1270" ht="12.75" customHeight="1" x14ac:dyDescent="0.25"/>
    <row r="1271" ht="12.75" customHeight="1" x14ac:dyDescent="0.25"/>
    <row r="1272" ht="12.75" customHeight="1" x14ac:dyDescent="0.25"/>
    <row r="1273" ht="12.75" customHeight="1" x14ac:dyDescent="0.25"/>
    <row r="1274" ht="12.75" customHeight="1" x14ac:dyDescent="0.25"/>
    <row r="1275" ht="12.75" customHeight="1" x14ac:dyDescent="0.25"/>
    <row r="1276" ht="12.75" customHeight="1" x14ac:dyDescent="0.25"/>
    <row r="1277" ht="12.75" customHeight="1" x14ac:dyDescent="0.25"/>
    <row r="1278" ht="12.75" customHeight="1" x14ac:dyDescent="0.25"/>
    <row r="1279" ht="12.75" customHeight="1" x14ac:dyDescent="0.25"/>
    <row r="1280" ht="12.75" customHeight="1" x14ac:dyDescent="0.25"/>
    <row r="1281" spans="6:17" ht="12.75" customHeight="1" x14ac:dyDescent="0.25"/>
    <row r="1282" spans="6:17" ht="12.75" customHeight="1" x14ac:dyDescent="0.25"/>
    <row r="1283" spans="6:17" ht="12.75" customHeight="1" x14ac:dyDescent="0.3">
      <c r="F1283" s="29"/>
      <c r="G1283" s="17"/>
      <c r="H1283" s="17"/>
      <c r="I1283" s="13"/>
      <c r="J1283" s="13"/>
      <c r="K1283" s="13"/>
      <c r="L1283" s="13"/>
      <c r="M1283" s="35"/>
      <c r="N1283" s="17"/>
      <c r="O1283" s="17"/>
      <c r="P1283" s="17"/>
      <c r="Q1283" s="17"/>
    </row>
    <row r="1284" spans="6:17" ht="12.75" customHeight="1" x14ac:dyDescent="0.25"/>
    <row r="1285" spans="6:17" ht="12.75" customHeight="1" x14ac:dyDescent="0.25"/>
    <row r="1286" spans="6:17" ht="12.75" customHeight="1" x14ac:dyDescent="0.25"/>
    <row r="1287" spans="6:17" ht="12.75" customHeight="1" x14ac:dyDescent="0.25"/>
    <row r="1288" spans="6:17" ht="12.75" customHeight="1" x14ac:dyDescent="0.25"/>
    <row r="1289" spans="6:17" ht="12.75" customHeight="1" x14ac:dyDescent="0.25"/>
    <row r="1290" spans="6:17" ht="12.75" customHeight="1" x14ac:dyDescent="0.25"/>
    <row r="1291" spans="6:17" ht="12.75" customHeight="1" x14ac:dyDescent="0.25"/>
    <row r="1292" spans="6:17" ht="12.75" customHeight="1" x14ac:dyDescent="0.25"/>
    <row r="1293" spans="6:17" ht="12.75" customHeight="1" x14ac:dyDescent="0.25"/>
    <row r="1294" spans="6:17" ht="12.75" customHeight="1" x14ac:dyDescent="0.25"/>
    <row r="1295" spans="6:17" ht="12.75" customHeight="1" x14ac:dyDescent="0.25"/>
    <row r="1296" spans="6:17" ht="12.75" customHeight="1" x14ac:dyDescent="0.25"/>
    <row r="1297" ht="12.75" customHeight="1" x14ac:dyDescent="0.25"/>
    <row r="1298" ht="12.75" customHeight="1" x14ac:dyDescent="0.25"/>
    <row r="1299" ht="12.75" customHeight="1" x14ac:dyDescent="0.25"/>
    <row r="1300" ht="12.75" customHeight="1" x14ac:dyDescent="0.25"/>
    <row r="1301" ht="12.75" customHeight="1" x14ac:dyDescent="0.25"/>
    <row r="1302" ht="12.75" customHeight="1" x14ac:dyDescent="0.25"/>
    <row r="1303" ht="12.75" customHeight="1" x14ac:dyDescent="0.25"/>
    <row r="1304" ht="12.75" customHeight="1" x14ac:dyDescent="0.25"/>
    <row r="1305" ht="12.75" customHeight="1" x14ac:dyDescent="0.25"/>
    <row r="1306" ht="12.75" customHeight="1" x14ac:dyDescent="0.25"/>
    <row r="1307" ht="12.75" customHeight="1" x14ac:dyDescent="0.25"/>
    <row r="1308" ht="12.75" customHeight="1" x14ac:dyDescent="0.25"/>
    <row r="1309" ht="12.75" customHeight="1" x14ac:dyDescent="0.25"/>
    <row r="1310" ht="12.75" customHeight="1" x14ac:dyDescent="0.25"/>
    <row r="1311" ht="12.75" customHeight="1" x14ac:dyDescent="0.25"/>
    <row r="1312" ht="12.75" customHeight="1" x14ac:dyDescent="0.25"/>
    <row r="1313" ht="12.75" customHeight="1" x14ac:dyDescent="0.25"/>
    <row r="1314" ht="12.75" customHeight="1" x14ac:dyDescent="0.25"/>
    <row r="1315" ht="12.75" customHeight="1" x14ac:dyDescent="0.25"/>
    <row r="1316" ht="12.75" customHeight="1" x14ac:dyDescent="0.25"/>
    <row r="1317" ht="12.75" customHeight="1" x14ac:dyDescent="0.25"/>
    <row r="1318" ht="12.75" customHeight="1" x14ac:dyDescent="0.25"/>
    <row r="1319" ht="12.75" customHeight="1" x14ac:dyDescent="0.25"/>
    <row r="1320" ht="12.75" customHeight="1" x14ac:dyDescent="0.25"/>
    <row r="1321" ht="12.75" customHeight="1" x14ac:dyDescent="0.25"/>
    <row r="1322" ht="12.75" customHeight="1" x14ac:dyDescent="0.25"/>
    <row r="1323" ht="12.75" customHeight="1" x14ac:dyDescent="0.25"/>
    <row r="1324" ht="12.75" customHeight="1" x14ac:dyDescent="0.25"/>
    <row r="1325" ht="12.75" customHeight="1" x14ac:dyDescent="0.25"/>
    <row r="1326" ht="12.75" customHeight="1" x14ac:dyDescent="0.25"/>
    <row r="1327" ht="12.75" customHeight="1" x14ac:dyDescent="0.25"/>
    <row r="1328" ht="12.75" customHeight="1" x14ac:dyDescent="0.25"/>
    <row r="1329" ht="12.75" customHeight="1" x14ac:dyDescent="0.25"/>
    <row r="1330" ht="12.75" customHeight="1" x14ac:dyDescent="0.25"/>
    <row r="1331" ht="12.75" customHeight="1" x14ac:dyDescent="0.25"/>
    <row r="1332" ht="12.75" customHeight="1" x14ac:dyDescent="0.25"/>
    <row r="1333" ht="12.75" customHeight="1" x14ac:dyDescent="0.25"/>
    <row r="1334" ht="12.75" customHeight="1" x14ac:dyDescent="0.25"/>
    <row r="1335" ht="12.75" customHeight="1" x14ac:dyDescent="0.25"/>
    <row r="1336" ht="12.75" customHeight="1" x14ac:dyDescent="0.25"/>
    <row r="1337" ht="12.75" customHeight="1" x14ac:dyDescent="0.25"/>
    <row r="1338" ht="12.75" customHeight="1" x14ac:dyDescent="0.25"/>
    <row r="1339" ht="12.75" customHeight="1" x14ac:dyDescent="0.25"/>
    <row r="1340" ht="12.75" customHeight="1" x14ac:dyDescent="0.25"/>
    <row r="1341" ht="12.75" customHeight="1" x14ac:dyDescent="0.25"/>
    <row r="1342" ht="12.75" customHeight="1" x14ac:dyDescent="0.25"/>
    <row r="1343" ht="12.75" customHeight="1" x14ac:dyDescent="0.25"/>
    <row r="1344" ht="12.75" customHeight="1" x14ac:dyDescent="0.25"/>
    <row r="1345" ht="12.75" customHeight="1" x14ac:dyDescent="0.25"/>
    <row r="1346" ht="12.75" customHeight="1" x14ac:dyDescent="0.25"/>
    <row r="1347" ht="12.75" customHeight="1" x14ac:dyDescent="0.25"/>
    <row r="1348" ht="12.75" customHeight="1" x14ac:dyDescent="0.25"/>
    <row r="1349" ht="12.75" customHeight="1" x14ac:dyDescent="0.25"/>
    <row r="1350" ht="12.75" customHeight="1" x14ac:dyDescent="0.25"/>
    <row r="1351" ht="12.75" customHeight="1" x14ac:dyDescent="0.25"/>
    <row r="1352" ht="12.75" customHeight="1" x14ac:dyDescent="0.25"/>
    <row r="1353" ht="12.75" customHeight="1" x14ac:dyDescent="0.25"/>
    <row r="1354" ht="12.75" customHeight="1" x14ac:dyDescent="0.25"/>
    <row r="1355" ht="12.75" customHeight="1" x14ac:dyDescent="0.25"/>
    <row r="1356" ht="12.75" customHeight="1" x14ac:dyDescent="0.25"/>
    <row r="1357" ht="12.75" customHeight="1" x14ac:dyDescent="0.25"/>
    <row r="1358" ht="12.75" customHeight="1" x14ac:dyDescent="0.25"/>
    <row r="1359" ht="12.75" customHeight="1" x14ac:dyDescent="0.25"/>
    <row r="1360" ht="12.75" customHeight="1" x14ac:dyDescent="0.25"/>
    <row r="1361" ht="12.75" customHeight="1" x14ac:dyDescent="0.25"/>
    <row r="1362" ht="12.75" customHeight="1" x14ac:dyDescent="0.25"/>
    <row r="1363" ht="12.75" customHeight="1" x14ac:dyDescent="0.25"/>
    <row r="1364" ht="12.75" customHeight="1" x14ac:dyDescent="0.25"/>
    <row r="1365" ht="12.75" customHeight="1" x14ac:dyDescent="0.25"/>
    <row r="1366" ht="12.75" customHeight="1" x14ac:dyDescent="0.25"/>
    <row r="1367" ht="12.75" customHeight="1" x14ac:dyDescent="0.25"/>
    <row r="1368" ht="12.75" customHeight="1" x14ac:dyDescent="0.25"/>
    <row r="1369" ht="12.75" customHeight="1" x14ac:dyDescent="0.25"/>
    <row r="1370" ht="12.75" customHeight="1" x14ac:dyDescent="0.25"/>
    <row r="1371" ht="12.75" customHeight="1" x14ac:dyDescent="0.25"/>
    <row r="1372" ht="12.75" customHeight="1" x14ac:dyDescent="0.25"/>
    <row r="1373" ht="12.75" customHeight="1" x14ac:dyDescent="0.25"/>
    <row r="1374" ht="12.75" customHeight="1" x14ac:dyDescent="0.25"/>
    <row r="1375" ht="12.75" customHeight="1" x14ac:dyDescent="0.25"/>
    <row r="1376" ht="12.75" customHeight="1" x14ac:dyDescent="0.25"/>
    <row r="1377" ht="12.75" customHeight="1" x14ac:dyDescent="0.25"/>
    <row r="1378" ht="12.75" customHeight="1" x14ac:dyDescent="0.25"/>
    <row r="1379" ht="12.75" customHeight="1" x14ac:dyDescent="0.25"/>
    <row r="1380" ht="12.75" customHeight="1" x14ac:dyDescent="0.25"/>
    <row r="1381" ht="12.75" customHeight="1" x14ac:dyDescent="0.25"/>
    <row r="1382" ht="12.75" customHeight="1" x14ac:dyDescent="0.25"/>
    <row r="1383" ht="12.75" customHeight="1" x14ac:dyDescent="0.25"/>
    <row r="1384" ht="12.75" customHeight="1" x14ac:dyDescent="0.25"/>
    <row r="1385" ht="12.75" customHeight="1" x14ac:dyDescent="0.25"/>
    <row r="1386" ht="12.75" customHeight="1" x14ac:dyDescent="0.25"/>
    <row r="1387" ht="12.75" customHeight="1" x14ac:dyDescent="0.25"/>
    <row r="1388" ht="12.75" customHeight="1" x14ac:dyDescent="0.25"/>
    <row r="1389" ht="12.75" customHeight="1" x14ac:dyDescent="0.25"/>
    <row r="1390" ht="12.75" customHeight="1" x14ac:dyDescent="0.25"/>
    <row r="1391" ht="12.75" customHeight="1" x14ac:dyDescent="0.25"/>
    <row r="1392" ht="12.75" customHeight="1" x14ac:dyDescent="0.25"/>
    <row r="1393" ht="12.75" customHeight="1" x14ac:dyDescent="0.25"/>
    <row r="1394" ht="12.75" customHeight="1" x14ac:dyDescent="0.25"/>
    <row r="1395" ht="12.75" customHeight="1" x14ac:dyDescent="0.25"/>
    <row r="1396" ht="12.75" customHeight="1" x14ac:dyDescent="0.25"/>
    <row r="1397" ht="12.75" customHeight="1" x14ac:dyDescent="0.25"/>
    <row r="1398" ht="12.75" customHeight="1" x14ac:dyDescent="0.25"/>
    <row r="1399" ht="12.75" customHeight="1" x14ac:dyDescent="0.25"/>
    <row r="1400" ht="12.75" customHeight="1" x14ac:dyDescent="0.25"/>
    <row r="1401" ht="12.75" customHeight="1" x14ac:dyDescent="0.25"/>
    <row r="1402" ht="12.75" customHeight="1" x14ac:dyDescent="0.25"/>
    <row r="1403" ht="12.75" customHeight="1" x14ac:dyDescent="0.25"/>
    <row r="1404" ht="12.75" customHeight="1" x14ac:dyDescent="0.25"/>
    <row r="1405" ht="12.75" customHeight="1" x14ac:dyDescent="0.25"/>
    <row r="1406" ht="12.75" customHeight="1" x14ac:dyDescent="0.25"/>
    <row r="1407" ht="12.75" customHeight="1" x14ac:dyDescent="0.25"/>
    <row r="1408" ht="12.75" customHeight="1" x14ac:dyDescent="0.25"/>
    <row r="1409" ht="12.75" customHeight="1" x14ac:dyDescent="0.25"/>
    <row r="1410" ht="12.75" customHeight="1" x14ac:dyDescent="0.25"/>
    <row r="1411" ht="12.75" customHeight="1" x14ac:dyDescent="0.25"/>
    <row r="1412" ht="12.75" customHeight="1" x14ac:dyDescent="0.25"/>
    <row r="1413" ht="12.75" customHeight="1" x14ac:dyDescent="0.25"/>
    <row r="1414" ht="12.75" customHeight="1" x14ac:dyDescent="0.25"/>
    <row r="1415" ht="12.75" customHeight="1" x14ac:dyDescent="0.25"/>
    <row r="1416" ht="12.75" customHeight="1" x14ac:dyDescent="0.25"/>
    <row r="1417" ht="12.75" customHeight="1" x14ac:dyDescent="0.25"/>
    <row r="1418" ht="12.75" customHeight="1" x14ac:dyDescent="0.25"/>
    <row r="1419" ht="12.75" customHeight="1" x14ac:dyDescent="0.25"/>
    <row r="1420" ht="12.75" customHeight="1" x14ac:dyDescent="0.25"/>
    <row r="1421" ht="12.75" customHeight="1" x14ac:dyDescent="0.25"/>
    <row r="1422" ht="12.75" customHeight="1" x14ac:dyDescent="0.25"/>
    <row r="1423" ht="12.75" customHeight="1" x14ac:dyDescent="0.25"/>
    <row r="1424" ht="12.75" customHeight="1" x14ac:dyDescent="0.25"/>
    <row r="1425" ht="12.75" customHeight="1" x14ac:dyDescent="0.25"/>
    <row r="1426" ht="12.75" customHeight="1" x14ac:dyDescent="0.25"/>
    <row r="1427" ht="12.75" customHeight="1" x14ac:dyDescent="0.25"/>
    <row r="1428" ht="12.75" customHeight="1" x14ac:dyDescent="0.25"/>
    <row r="1429" ht="12.75" customHeight="1" x14ac:dyDescent="0.25"/>
    <row r="1430" ht="12.75" customHeight="1" x14ac:dyDescent="0.25"/>
    <row r="1431" ht="12.75" customHeight="1" x14ac:dyDescent="0.25"/>
    <row r="1432" ht="12.75" customHeight="1" x14ac:dyDescent="0.25"/>
    <row r="1433" ht="12.75" customHeight="1" x14ac:dyDescent="0.25"/>
    <row r="1434" ht="12.75" customHeight="1" x14ac:dyDescent="0.25"/>
    <row r="1435" ht="12.75" customHeight="1" x14ac:dyDescent="0.25"/>
    <row r="1436" ht="12.75" customHeight="1" x14ac:dyDescent="0.25"/>
    <row r="1437" ht="12.75" customHeight="1" x14ac:dyDescent="0.25"/>
    <row r="1438" ht="12.75" customHeight="1" x14ac:dyDescent="0.25"/>
    <row r="1439" ht="12.75" customHeight="1" x14ac:dyDescent="0.25"/>
    <row r="1440" ht="12.75" customHeight="1" x14ac:dyDescent="0.25"/>
    <row r="1441" ht="12.75" customHeight="1" x14ac:dyDescent="0.25"/>
    <row r="1442" ht="12.75" customHeight="1" x14ac:dyDescent="0.25"/>
    <row r="1443" ht="12.75" customHeight="1" x14ac:dyDescent="0.25"/>
    <row r="1444" ht="12.75" customHeight="1" x14ac:dyDescent="0.25"/>
    <row r="1445" ht="12.75" customHeight="1" x14ac:dyDescent="0.25"/>
    <row r="1446" ht="12.75" customHeight="1" x14ac:dyDescent="0.25"/>
    <row r="1447" ht="12.75" customHeight="1" x14ac:dyDescent="0.25"/>
    <row r="1448" ht="12.75" customHeight="1" x14ac:dyDescent="0.25"/>
    <row r="1449" ht="12.75" customHeight="1" x14ac:dyDescent="0.25"/>
    <row r="1450" ht="12.75" customHeight="1" x14ac:dyDescent="0.25"/>
    <row r="1451" ht="12.75" customHeight="1" x14ac:dyDescent="0.25"/>
    <row r="1452" ht="12.75" customHeight="1" x14ac:dyDescent="0.25"/>
    <row r="1453" ht="12.75" customHeight="1" x14ac:dyDescent="0.25"/>
    <row r="1454" ht="12.75" customHeight="1" x14ac:dyDescent="0.25"/>
    <row r="1455" ht="12.75" customHeight="1" x14ac:dyDescent="0.25"/>
    <row r="1456" ht="12.75" customHeight="1" x14ac:dyDescent="0.25"/>
    <row r="1457" ht="12.75" customHeight="1" x14ac:dyDescent="0.25"/>
    <row r="1458" ht="12.75" customHeight="1" x14ac:dyDescent="0.25"/>
    <row r="1459" ht="12.75" customHeight="1" x14ac:dyDescent="0.25"/>
    <row r="1460" ht="12.75" customHeight="1" x14ac:dyDescent="0.25"/>
    <row r="1461" ht="12.75" customHeight="1" x14ac:dyDescent="0.25"/>
    <row r="1462" ht="12.75" customHeight="1" x14ac:dyDescent="0.25"/>
    <row r="1463" ht="12.75" customHeight="1" x14ac:dyDescent="0.25"/>
    <row r="1464" ht="12.75" customHeight="1" x14ac:dyDescent="0.25"/>
    <row r="1465" ht="12.75" customHeight="1" x14ac:dyDescent="0.25"/>
    <row r="1466" ht="12.75" customHeight="1" x14ac:dyDescent="0.25"/>
    <row r="1467" ht="12.75" customHeight="1" x14ac:dyDescent="0.25"/>
    <row r="1468" ht="12.75" customHeight="1" x14ac:dyDescent="0.25"/>
    <row r="1469" ht="12.75" customHeight="1" x14ac:dyDescent="0.25"/>
    <row r="1470" ht="12.75" customHeight="1" x14ac:dyDescent="0.25"/>
    <row r="1471" ht="12.75" customHeight="1" x14ac:dyDescent="0.25"/>
    <row r="1472" ht="12.75" customHeight="1" x14ac:dyDescent="0.25"/>
    <row r="1473" ht="12.75" customHeight="1" x14ac:dyDescent="0.25"/>
    <row r="1474" ht="12.75" customHeight="1" x14ac:dyDescent="0.25"/>
    <row r="1475" ht="12.75" customHeight="1" x14ac:dyDescent="0.25"/>
    <row r="1476" ht="12.75" customHeight="1" x14ac:dyDescent="0.25"/>
    <row r="1477" ht="12.75" customHeight="1" x14ac:dyDescent="0.25"/>
    <row r="1478" ht="12.75" customHeight="1" x14ac:dyDescent="0.25"/>
    <row r="1479" ht="12.75" customHeight="1" x14ac:dyDescent="0.25"/>
    <row r="1480" ht="12.75" customHeight="1" x14ac:dyDescent="0.25"/>
    <row r="1481" ht="12.75" customHeight="1" x14ac:dyDescent="0.25"/>
    <row r="1482" ht="12.75" customHeight="1" x14ac:dyDescent="0.25"/>
    <row r="1483" ht="12.75" customHeight="1" x14ac:dyDescent="0.25"/>
    <row r="1484" ht="12.75" customHeight="1" x14ac:dyDescent="0.25"/>
    <row r="1485" ht="12.75" customHeight="1" x14ac:dyDescent="0.25"/>
    <row r="1486" ht="12.75" customHeight="1" x14ac:dyDescent="0.25"/>
    <row r="1487" ht="12.75" customHeight="1" x14ac:dyDescent="0.25"/>
    <row r="1488" ht="12.75" customHeight="1" x14ac:dyDescent="0.25"/>
    <row r="1489" ht="12.75" customHeight="1" x14ac:dyDescent="0.25"/>
    <row r="1490" ht="12.75" customHeight="1" x14ac:dyDescent="0.25"/>
    <row r="1491" ht="12.75" customHeight="1" x14ac:dyDescent="0.25"/>
    <row r="1492" ht="12.75" customHeight="1" x14ac:dyDescent="0.25"/>
    <row r="1493" ht="12.75" customHeight="1" x14ac:dyDescent="0.25"/>
    <row r="1494" ht="12.75" customHeight="1" x14ac:dyDescent="0.25"/>
    <row r="1495" ht="12.75" customHeight="1" x14ac:dyDescent="0.25"/>
    <row r="1496" ht="12.75" customHeight="1" x14ac:dyDescent="0.25"/>
    <row r="1497" ht="12.75" customHeight="1" x14ac:dyDescent="0.25"/>
    <row r="1498" ht="12.75" customHeight="1" x14ac:dyDescent="0.25"/>
    <row r="1499" ht="12.75" customHeight="1" x14ac:dyDescent="0.25"/>
    <row r="1500" ht="12.75" customHeight="1" x14ac:dyDescent="0.25"/>
    <row r="1501" ht="12.75" customHeight="1" x14ac:dyDescent="0.25"/>
    <row r="1502" ht="12.75" customHeight="1" x14ac:dyDescent="0.25"/>
    <row r="1503" ht="12.75" customHeight="1" x14ac:dyDescent="0.25"/>
    <row r="1504" ht="12.75" customHeight="1" x14ac:dyDescent="0.25"/>
    <row r="1505" ht="12.75" customHeight="1" x14ac:dyDescent="0.25"/>
    <row r="1506" ht="12.75" customHeight="1" x14ac:dyDescent="0.25"/>
    <row r="1507" ht="12.75" customHeight="1" x14ac:dyDescent="0.25"/>
    <row r="1508" ht="12.75" customHeight="1" x14ac:dyDescent="0.25"/>
    <row r="1509" ht="12.75" customHeight="1" x14ac:dyDescent="0.25"/>
    <row r="1510" ht="12.75" customHeight="1" x14ac:dyDescent="0.25"/>
    <row r="1511" ht="12.75" customHeight="1" x14ac:dyDescent="0.25"/>
    <row r="1512" ht="12.75" customHeight="1" x14ac:dyDescent="0.25"/>
    <row r="1513" ht="12.75" customHeight="1" x14ac:dyDescent="0.25"/>
    <row r="1514" ht="12.75" customHeight="1" x14ac:dyDescent="0.25"/>
    <row r="1515" ht="12.75" customHeight="1" x14ac:dyDescent="0.25"/>
    <row r="1516" ht="12.75" customHeight="1" x14ac:dyDescent="0.25"/>
    <row r="1517" ht="12.75" customHeight="1" x14ac:dyDescent="0.25"/>
    <row r="1518" ht="12.75" customHeight="1" x14ac:dyDescent="0.25"/>
    <row r="1519" ht="12.75" customHeight="1" x14ac:dyDescent="0.25"/>
    <row r="1520" ht="12.75" customHeight="1" x14ac:dyDescent="0.25"/>
    <row r="1521" ht="12.75" customHeight="1" x14ac:dyDescent="0.25"/>
    <row r="1522" ht="12.75" customHeight="1" x14ac:dyDescent="0.25"/>
    <row r="1523" ht="12.75" customHeight="1" x14ac:dyDescent="0.25"/>
    <row r="1524" ht="12.75" customHeight="1" x14ac:dyDescent="0.25"/>
    <row r="1525" ht="12.75" customHeight="1" x14ac:dyDescent="0.25"/>
    <row r="1526" ht="12.75" customHeight="1" x14ac:dyDescent="0.25"/>
    <row r="1527" ht="12.75" customHeight="1" x14ac:dyDescent="0.25"/>
    <row r="1528" ht="12.75" customHeight="1" x14ac:dyDescent="0.25"/>
    <row r="1529" ht="12.75" customHeight="1" x14ac:dyDescent="0.25"/>
    <row r="1530" ht="12.75" customHeight="1" x14ac:dyDescent="0.25"/>
    <row r="1531" ht="12.75" customHeight="1" x14ac:dyDescent="0.25"/>
    <row r="1532" ht="12.75" customHeight="1" x14ac:dyDescent="0.25"/>
    <row r="1533" ht="12.75" customHeight="1" x14ac:dyDescent="0.25"/>
    <row r="1534" ht="12.75" customHeight="1" x14ac:dyDescent="0.25"/>
    <row r="1535" ht="12.75" customHeight="1" x14ac:dyDescent="0.25"/>
    <row r="1536" ht="12.75" customHeight="1" x14ac:dyDescent="0.25"/>
    <row r="1537" ht="12.75" customHeight="1" x14ac:dyDescent="0.25"/>
    <row r="1538" ht="12.75" customHeight="1" x14ac:dyDescent="0.25"/>
    <row r="1539" ht="12.75" customHeight="1" x14ac:dyDescent="0.25"/>
    <row r="1540" ht="12.75" customHeight="1" x14ac:dyDescent="0.25"/>
    <row r="1541" ht="12.75" customHeight="1" x14ac:dyDescent="0.25"/>
    <row r="1542" ht="12.75" customHeight="1" x14ac:dyDescent="0.25"/>
    <row r="1543" ht="12.75" customHeight="1" x14ac:dyDescent="0.25"/>
    <row r="1544" ht="12.75" customHeight="1" x14ac:dyDescent="0.25"/>
    <row r="1545" ht="12.75" customHeight="1" x14ac:dyDescent="0.25"/>
    <row r="1546" ht="12.75" customHeight="1" x14ac:dyDescent="0.25"/>
    <row r="1547" ht="12.75" customHeight="1" x14ac:dyDescent="0.25"/>
    <row r="1548" ht="12.75" customHeight="1" x14ac:dyDescent="0.25"/>
    <row r="1549" ht="12.75" customHeight="1" x14ac:dyDescent="0.25"/>
    <row r="1550" ht="12.75" customHeight="1" x14ac:dyDescent="0.25"/>
    <row r="1551" ht="12.75" customHeight="1" x14ac:dyDescent="0.25"/>
    <row r="1552" ht="12.75" customHeight="1" x14ac:dyDescent="0.25"/>
    <row r="1553" ht="12.75" customHeight="1" x14ac:dyDescent="0.25"/>
    <row r="1554" ht="12.75" customHeight="1" x14ac:dyDescent="0.25"/>
    <row r="1555" ht="12.75" customHeight="1" x14ac:dyDescent="0.25"/>
    <row r="1556" ht="12.75" customHeight="1" x14ac:dyDescent="0.25"/>
    <row r="1557" ht="12.75" customHeight="1" x14ac:dyDescent="0.25"/>
    <row r="1558" ht="12.75" customHeight="1" x14ac:dyDescent="0.25"/>
    <row r="1559" ht="12.75" customHeight="1" x14ac:dyDescent="0.25"/>
    <row r="1560" ht="12.75" customHeight="1" x14ac:dyDescent="0.25"/>
    <row r="1561" ht="12.75" customHeight="1" x14ac:dyDescent="0.25"/>
    <row r="1562" ht="12.75" customHeight="1" x14ac:dyDescent="0.25"/>
    <row r="1563" ht="12.75" customHeight="1" x14ac:dyDescent="0.25"/>
    <row r="1564" ht="12.75" customHeight="1" x14ac:dyDescent="0.25"/>
    <row r="1565" ht="12.75" customHeight="1" x14ac:dyDescent="0.25"/>
    <row r="1566" ht="12.75" customHeight="1" x14ac:dyDescent="0.25"/>
    <row r="1567" ht="12.75" customHeight="1" x14ac:dyDescent="0.25"/>
    <row r="1568" ht="12.75" customHeight="1" x14ac:dyDescent="0.25"/>
    <row r="1569" ht="12.75" customHeight="1" x14ac:dyDescent="0.25"/>
    <row r="1570" ht="12.75" customHeight="1" x14ac:dyDescent="0.25"/>
    <row r="1571" ht="12.75" customHeight="1" x14ac:dyDescent="0.25"/>
    <row r="1572" ht="12.75" customHeight="1" x14ac:dyDescent="0.25"/>
    <row r="1573" ht="12.75" customHeight="1" x14ac:dyDescent="0.25"/>
    <row r="1574" ht="12.75" customHeight="1" x14ac:dyDescent="0.25"/>
    <row r="1575" ht="12.75" customHeight="1" x14ac:dyDescent="0.25"/>
    <row r="1576" ht="12.75" customHeight="1" x14ac:dyDescent="0.25"/>
    <row r="1577" ht="12.75" customHeight="1" x14ac:dyDescent="0.25"/>
    <row r="1578" ht="12.75" customHeight="1" x14ac:dyDescent="0.25"/>
    <row r="1579" ht="12.75" customHeight="1" x14ac:dyDescent="0.25"/>
    <row r="1580" ht="12.75" customHeight="1" x14ac:dyDescent="0.25"/>
    <row r="1581" ht="12.75" customHeight="1" x14ac:dyDescent="0.25"/>
    <row r="1582" ht="12.75" customHeight="1" x14ac:dyDescent="0.25"/>
    <row r="1583" ht="12.75" customHeight="1" x14ac:dyDescent="0.25"/>
    <row r="1584" ht="12.75" customHeight="1" x14ac:dyDescent="0.25"/>
    <row r="1585" ht="12.75" customHeight="1" x14ac:dyDescent="0.25"/>
    <row r="1586" ht="12.75" customHeight="1" x14ac:dyDescent="0.25"/>
    <row r="1587" ht="12.75" customHeight="1" x14ac:dyDescent="0.25"/>
    <row r="1588" ht="12.75" customHeight="1" x14ac:dyDescent="0.25"/>
    <row r="1589" ht="12.75" customHeight="1" x14ac:dyDescent="0.25"/>
    <row r="1590" ht="12.75" customHeight="1" x14ac:dyDescent="0.25"/>
    <row r="1591" ht="12.75" customHeight="1" x14ac:dyDescent="0.25"/>
    <row r="1592" ht="12.75" customHeight="1" x14ac:dyDescent="0.25"/>
    <row r="1593" ht="12.75" customHeight="1" x14ac:dyDescent="0.25"/>
    <row r="1594" ht="12.75" customHeight="1" x14ac:dyDescent="0.25"/>
    <row r="1595" ht="12.75" customHeight="1" x14ac:dyDescent="0.25"/>
    <row r="1596" ht="12.75" customHeight="1" x14ac:dyDescent="0.25"/>
    <row r="1597" ht="12.75" customHeight="1" x14ac:dyDescent="0.25"/>
    <row r="1598" ht="12.75" customHeight="1" x14ac:dyDescent="0.25"/>
    <row r="1599" ht="12.75" customHeight="1" x14ac:dyDescent="0.25"/>
    <row r="1600" ht="12.75" customHeight="1" x14ac:dyDescent="0.25"/>
    <row r="1601" ht="12.75" customHeight="1" x14ac:dyDescent="0.25"/>
    <row r="1602" ht="12.75" customHeight="1" x14ac:dyDescent="0.25"/>
    <row r="1603" ht="12.75" customHeight="1" x14ac:dyDescent="0.25"/>
    <row r="1604" ht="12.75" customHeight="1" x14ac:dyDescent="0.25"/>
    <row r="1605" ht="12.75" customHeight="1" x14ac:dyDescent="0.25"/>
    <row r="1606" ht="12.75" customHeight="1" x14ac:dyDescent="0.25"/>
    <row r="1607" ht="12.75" customHeight="1" x14ac:dyDescent="0.25"/>
    <row r="1608" ht="12.75" customHeight="1" x14ac:dyDescent="0.25"/>
    <row r="1609" ht="12.75" customHeight="1" x14ac:dyDescent="0.25"/>
    <row r="1610" ht="12.75" customHeight="1" x14ac:dyDescent="0.25"/>
    <row r="1611" ht="12.75" customHeight="1" x14ac:dyDescent="0.25"/>
    <row r="1612" ht="12.75" customHeight="1" x14ac:dyDescent="0.25"/>
    <row r="1613" ht="12.75" customHeight="1" x14ac:dyDescent="0.25"/>
    <row r="1614" ht="12.75" customHeight="1" x14ac:dyDescent="0.25"/>
    <row r="1615" ht="12.75" customHeight="1" x14ac:dyDescent="0.25"/>
    <row r="1616" ht="12.75" customHeight="1" x14ac:dyDescent="0.25"/>
    <row r="1617" ht="12.75" customHeight="1" x14ac:dyDescent="0.25"/>
    <row r="1618" ht="12.75" customHeight="1" x14ac:dyDescent="0.25"/>
    <row r="1619" ht="12.75" customHeight="1" x14ac:dyDescent="0.25"/>
    <row r="1620" ht="12.75" customHeight="1" x14ac:dyDescent="0.25"/>
    <row r="1621" ht="12.75" customHeight="1" x14ac:dyDescent="0.25"/>
    <row r="1622" ht="12.75" customHeight="1" x14ac:dyDescent="0.25"/>
    <row r="1623" ht="12.75" customHeight="1" x14ac:dyDescent="0.25"/>
    <row r="1624" ht="12.75" customHeight="1" x14ac:dyDescent="0.25"/>
    <row r="1625" ht="12.75" customHeight="1" x14ac:dyDescent="0.25"/>
    <row r="1626" ht="12.75" customHeight="1" x14ac:dyDescent="0.25"/>
    <row r="1627" ht="12.75" customHeight="1" x14ac:dyDescent="0.25"/>
    <row r="1628" ht="12.75" customHeight="1" x14ac:dyDescent="0.25"/>
    <row r="1629" ht="12.75" customHeight="1" x14ac:dyDescent="0.25"/>
    <row r="1630" ht="12.75" customHeight="1" x14ac:dyDescent="0.25"/>
    <row r="1631" ht="12.75" customHeight="1" x14ac:dyDescent="0.25"/>
    <row r="1632" ht="12.75" customHeight="1" x14ac:dyDescent="0.25"/>
    <row r="1633" ht="12.75" customHeight="1" x14ac:dyDescent="0.25"/>
    <row r="1634" ht="12.75" customHeight="1" x14ac:dyDescent="0.25"/>
    <row r="1635" ht="12.75" customHeight="1" x14ac:dyDescent="0.25"/>
    <row r="1636" ht="12.75" customHeight="1" x14ac:dyDescent="0.25"/>
    <row r="1637" ht="12.75" customHeight="1" x14ac:dyDescent="0.25"/>
    <row r="1638" ht="12.75" customHeight="1" x14ac:dyDescent="0.25"/>
    <row r="1639" ht="12.75" customHeight="1" x14ac:dyDescent="0.25"/>
    <row r="1640" ht="12.75" customHeight="1" x14ac:dyDescent="0.25"/>
    <row r="1641" ht="12.75" customHeight="1" x14ac:dyDescent="0.25"/>
    <row r="1642" ht="12.75" customHeight="1" x14ac:dyDescent="0.25"/>
    <row r="1643" ht="12.75" customHeight="1" x14ac:dyDescent="0.25"/>
    <row r="1644" ht="12.75" customHeight="1" x14ac:dyDescent="0.25"/>
    <row r="1645" ht="12.75" customHeight="1" x14ac:dyDescent="0.25"/>
    <row r="1646" ht="12.75" customHeight="1" x14ac:dyDescent="0.25"/>
    <row r="1647" ht="12.75" customHeight="1" x14ac:dyDescent="0.25"/>
    <row r="1648" ht="12.75" customHeight="1" x14ac:dyDescent="0.25"/>
    <row r="1649" ht="12.75" customHeight="1" x14ac:dyDescent="0.25"/>
    <row r="1650" ht="12.75" customHeight="1" x14ac:dyDescent="0.25"/>
    <row r="1651" ht="12.75" customHeight="1" x14ac:dyDescent="0.25"/>
    <row r="1652" ht="12.75" customHeight="1" x14ac:dyDescent="0.25"/>
    <row r="1653" ht="12.75" customHeight="1" x14ac:dyDescent="0.25"/>
    <row r="1654" ht="12.75" customHeight="1" x14ac:dyDescent="0.25"/>
    <row r="1655" ht="12.75" customHeight="1" x14ac:dyDescent="0.25"/>
    <row r="1656" ht="12.75" customHeight="1" x14ac:dyDescent="0.25"/>
    <row r="1657" ht="12.75" customHeight="1" x14ac:dyDescent="0.25"/>
    <row r="1658" ht="12.75" customHeight="1" x14ac:dyDescent="0.25"/>
    <row r="1659" ht="12.75" customHeight="1" x14ac:dyDescent="0.25"/>
    <row r="1660" ht="12.75" customHeight="1" x14ac:dyDescent="0.25"/>
    <row r="1661" ht="12.75" customHeight="1" x14ac:dyDescent="0.25"/>
    <row r="1662" ht="12.75" customHeight="1" x14ac:dyDescent="0.25"/>
    <row r="1663" ht="12.75" customHeight="1" x14ac:dyDescent="0.25"/>
    <row r="1664" ht="12.75" customHeight="1" x14ac:dyDescent="0.25"/>
    <row r="1665" ht="12.75" customHeight="1" x14ac:dyDescent="0.25"/>
    <row r="1666" ht="12.75" customHeight="1" x14ac:dyDescent="0.25"/>
    <row r="1667" ht="12.75" customHeight="1" x14ac:dyDescent="0.25"/>
    <row r="1668" ht="12.75" customHeight="1" x14ac:dyDescent="0.25"/>
    <row r="1669" ht="12.75" customHeight="1" x14ac:dyDescent="0.25"/>
    <row r="1670" ht="12.75" customHeight="1" x14ac:dyDescent="0.25"/>
    <row r="1671" ht="12.75" customHeight="1" x14ac:dyDescent="0.25"/>
    <row r="1672" ht="12.75" customHeight="1" x14ac:dyDescent="0.25"/>
    <row r="1673" ht="12.75" customHeight="1" x14ac:dyDescent="0.25"/>
    <row r="1674" ht="12.75" customHeight="1" x14ac:dyDescent="0.25"/>
    <row r="1675" ht="12.75" customHeight="1" x14ac:dyDescent="0.25"/>
    <row r="1676" ht="12.75" customHeight="1" x14ac:dyDescent="0.25"/>
    <row r="1677" ht="12.75" customHeight="1" x14ac:dyDescent="0.25"/>
    <row r="1678" ht="12.75" customHeight="1" x14ac:dyDescent="0.25"/>
    <row r="1679" ht="12.75" customHeight="1" x14ac:dyDescent="0.25"/>
    <row r="1680" ht="12.75" customHeight="1" x14ac:dyDescent="0.25"/>
    <row r="1681" ht="12.75" customHeight="1" x14ac:dyDescent="0.25"/>
    <row r="1682" ht="12.75" customHeight="1" x14ac:dyDescent="0.25"/>
    <row r="1683" ht="12.75" customHeight="1" x14ac:dyDescent="0.25"/>
    <row r="1684" ht="12.75" customHeight="1" x14ac:dyDescent="0.25"/>
    <row r="1685" ht="12.75" customHeight="1" x14ac:dyDescent="0.25"/>
    <row r="1686" ht="12.75" customHeight="1" x14ac:dyDescent="0.25"/>
    <row r="1687" ht="12.75" customHeight="1" x14ac:dyDescent="0.25"/>
    <row r="1688" ht="12.75" customHeight="1" x14ac:dyDescent="0.25"/>
    <row r="1689" ht="12.75" customHeight="1" x14ac:dyDescent="0.25"/>
    <row r="1690" ht="12.75" customHeight="1" x14ac:dyDescent="0.25"/>
    <row r="1691" ht="12.75" customHeight="1" x14ac:dyDescent="0.25"/>
    <row r="1692" ht="12.75" customHeight="1" x14ac:dyDescent="0.25"/>
    <row r="1693" ht="12.75" customHeight="1" x14ac:dyDescent="0.25"/>
    <row r="1694" ht="12.75" customHeight="1" x14ac:dyDescent="0.25"/>
    <row r="1695" ht="12.75" customHeight="1" x14ac:dyDescent="0.25"/>
    <row r="1696" ht="12.75" customHeight="1" x14ac:dyDescent="0.25"/>
    <row r="1697" ht="12.75" customHeight="1" x14ac:dyDescent="0.25"/>
    <row r="1698" ht="12.75" customHeight="1" x14ac:dyDescent="0.25"/>
    <row r="1699" ht="12.75" customHeight="1" x14ac:dyDescent="0.25"/>
    <row r="1700" ht="12.75" customHeight="1" x14ac:dyDescent="0.25"/>
    <row r="1701" ht="12.75" customHeight="1" x14ac:dyDescent="0.25"/>
    <row r="1702" ht="12.75" customHeight="1" x14ac:dyDescent="0.25"/>
    <row r="1703" ht="12.75" customHeight="1" x14ac:dyDescent="0.25"/>
    <row r="1704" ht="12.75" customHeight="1" x14ac:dyDescent="0.25"/>
    <row r="1705" ht="12.75" customHeight="1" x14ac:dyDescent="0.25"/>
    <row r="1706" ht="12.75" customHeight="1" x14ac:dyDescent="0.25"/>
    <row r="1707" ht="12.75" customHeight="1" x14ac:dyDescent="0.25"/>
    <row r="1708" ht="12.75" customHeight="1" x14ac:dyDescent="0.25"/>
    <row r="1709" ht="12.75" customHeight="1" x14ac:dyDescent="0.25"/>
    <row r="1710" ht="12.75" customHeight="1" x14ac:dyDescent="0.25"/>
    <row r="1711" ht="12.75" customHeight="1" x14ac:dyDescent="0.25"/>
    <row r="1712" ht="12.75" customHeight="1" x14ac:dyDescent="0.25"/>
    <row r="1713" ht="12.75" customHeight="1" x14ac:dyDescent="0.25"/>
    <row r="1714" ht="12.75" customHeight="1" x14ac:dyDescent="0.25"/>
    <row r="1715" ht="12.75" customHeight="1" x14ac:dyDescent="0.25"/>
    <row r="1716" ht="12.75" customHeight="1" x14ac:dyDescent="0.25"/>
    <row r="1717" ht="12.75" customHeight="1" x14ac:dyDescent="0.25"/>
    <row r="1718" ht="12.75" customHeight="1" x14ac:dyDescent="0.25"/>
    <row r="1719" ht="12.75" customHeight="1" x14ac:dyDescent="0.25"/>
    <row r="1720" ht="12.75" customHeight="1" x14ac:dyDescent="0.25"/>
    <row r="1721" ht="12.75" customHeight="1" x14ac:dyDescent="0.25"/>
    <row r="1722" ht="12.75" customHeight="1" x14ac:dyDescent="0.25"/>
    <row r="1723" ht="12.75" customHeight="1" x14ac:dyDescent="0.25"/>
    <row r="1724" ht="12.75" customHeight="1" x14ac:dyDescent="0.25"/>
    <row r="1725" ht="12.75" customHeight="1" x14ac:dyDescent="0.25"/>
    <row r="1726" ht="12.75" customHeight="1" x14ac:dyDescent="0.25"/>
    <row r="1727" ht="12.75" customHeight="1" x14ac:dyDescent="0.25"/>
    <row r="1728" ht="12.75" customHeight="1" x14ac:dyDescent="0.25"/>
    <row r="1729" ht="12.75" customHeight="1" x14ac:dyDescent="0.25"/>
    <row r="1730" ht="12.75" customHeight="1" x14ac:dyDescent="0.25"/>
    <row r="1731" ht="12.75" customHeight="1" x14ac:dyDescent="0.25"/>
    <row r="1732" ht="12.75" customHeight="1" x14ac:dyDescent="0.25"/>
    <row r="1733" ht="12.75" customHeight="1" x14ac:dyDescent="0.25"/>
    <row r="1734" ht="12.75" customHeight="1" x14ac:dyDescent="0.25"/>
    <row r="1735" ht="12.75" customHeight="1" x14ac:dyDescent="0.25"/>
    <row r="1736" ht="12.75" customHeight="1" x14ac:dyDescent="0.25"/>
    <row r="1737" ht="12.75" customHeight="1" x14ac:dyDescent="0.25"/>
    <row r="1738" ht="12.75" customHeight="1" x14ac:dyDescent="0.25"/>
    <row r="1739" ht="12.75" customHeight="1" x14ac:dyDescent="0.25"/>
    <row r="1740" ht="12.75" customHeight="1" x14ac:dyDescent="0.25"/>
    <row r="1741" ht="12.75" customHeight="1" x14ac:dyDescent="0.25"/>
    <row r="1742" ht="12.75" customHeight="1" x14ac:dyDescent="0.25"/>
    <row r="1743" ht="12.75" customHeight="1" x14ac:dyDescent="0.25"/>
    <row r="1744" ht="12.75" customHeight="1" x14ac:dyDescent="0.25"/>
    <row r="1745" ht="12.75" customHeight="1" x14ac:dyDescent="0.25"/>
    <row r="1746" ht="12.75" customHeight="1" x14ac:dyDescent="0.25"/>
    <row r="1747" ht="12.75" customHeight="1" x14ac:dyDescent="0.25"/>
    <row r="1748" ht="12.75" customHeight="1" x14ac:dyDescent="0.25"/>
    <row r="1749" ht="12.75" customHeight="1" x14ac:dyDescent="0.25"/>
    <row r="1750" ht="12.75" customHeight="1" x14ac:dyDescent="0.25"/>
    <row r="1751" ht="12.75" customHeight="1" x14ac:dyDescent="0.25"/>
    <row r="1752" ht="12.75" customHeight="1" x14ac:dyDescent="0.25"/>
    <row r="1753" ht="12.75" customHeight="1" x14ac:dyDescent="0.25"/>
    <row r="1754" ht="12.75" customHeight="1" x14ac:dyDescent="0.25"/>
    <row r="1755" ht="12.75" customHeight="1" x14ac:dyDescent="0.25"/>
    <row r="1756" ht="12.75" customHeight="1" x14ac:dyDescent="0.25"/>
    <row r="1757" ht="12.75" customHeight="1" x14ac:dyDescent="0.25"/>
    <row r="1758" ht="12.75" customHeight="1" x14ac:dyDescent="0.25"/>
    <row r="1759" ht="12.75" customHeight="1" x14ac:dyDescent="0.25"/>
    <row r="1760" ht="12.75" customHeight="1" x14ac:dyDescent="0.25"/>
    <row r="1761" ht="12.75" customHeight="1" x14ac:dyDescent="0.25"/>
    <row r="1762" ht="12.75" customHeight="1" x14ac:dyDescent="0.25"/>
    <row r="1763" ht="12.75" customHeight="1" x14ac:dyDescent="0.25"/>
    <row r="1764" ht="12.75" customHeight="1" x14ac:dyDescent="0.25"/>
    <row r="1765" ht="12.75" customHeight="1" x14ac:dyDescent="0.25"/>
    <row r="1766" ht="12.75" customHeight="1" x14ac:dyDescent="0.25"/>
    <row r="1767" ht="12.75" customHeight="1" x14ac:dyDescent="0.25"/>
    <row r="1768" ht="12.75" customHeight="1" x14ac:dyDescent="0.25"/>
    <row r="1769" ht="12.75" customHeight="1" x14ac:dyDescent="0.25"/>
    <row r="1770" ht="12.75" customHeight="1" x14ac:dyDescent="0.25"/>
    <row r="1771" ht="12.75" customHeight="1" x14ac:dyDescent="0.25"/>
    <row r="1772" ht="12.75" customHeight="1" x14ac:dyDescent="0.25"/>
    <row r="1773" ht="12.75" customHeight="1" x14ac:dyDescent="0.25"/>
    <row r="1774" ht="12.75" customHeight="1" x14ac:dyDescent="0.25"/>
    <row r="1775" ht="12.75" customHeight="1" x14ac:dyDescent="0.25"/>
    <row r="1776" ht="12.75" customHeight="1" x14ac:dyDescent="0.25"/>
    <row r="1777" ht="12.75" customHeight="1" x14ac:dyDescent="0.25"/>
    <row r="1778" ht="12.75" customHeight="1" x14ac:dyDescent="0.25"/>
    <row r="1779" ht="12.75" customHeight="1" x14ac:dyDescent="0.25"/>
    <row r="1780" ht="12.75" customHeight="1" x14ac:dyDescent="0.25"/>
    <row r="1781" ht="12.75" customHeight="1" x14ac:dyDescent="0.25"/>
    <row r="1782" ht="12.75" customHeight="1" x14ac:dyDescent="0.25"/>
    <row r="1783" ht="12.75" customHeight="1" x14ac:dyDescent="0.25"/>
    <row r="1784" ht="12.75" customHeight="1" x14ac:dyDescent="0.25"/>
    <row r="1785" ht="12.75" customHeight="1" x14ac:dyDescent="0.25"/>
    <row r="1786" ht="12.75" customHeight="1" x14ac:dyDescent="0.25"/>
    <row r="1787" ht="12.75" customHeight="1" x14ac:dyDescent="0.25"/>
    <row r="1788" ht="12.75" customHeight="1" x14ac:dyDescent="0.25"/>
    <row r="1789" ht="12.75" customHeight="1" x14ac:dyDescent="0.25"/>
    <row r="1790" ht="12.75" customHeight="1" x14ac:dyDescent="0.25"/>
    <row r="1791" ht="12.75" customHeight="1" x14ac:dyDescent="0.25"/>
    <row r="1792" ht="12.75" customHeight="1" x14ac:dyDescent="0.25"/>
    <row r="1793" ht="12.75" customHeight="1" x14ac:dyDescent="0.25"/>
    <row r="1794" ht="12.75" customHeight="1" x14ac:dyDescent="0.25"/>
    <row r="1795" ht="12.75" customHeight="1" x14ac:dyDescent="0.25"/>
    <row r="1796" ht="12.75" customHeight="1" x14ac:dyDescent="0.25"/>
    <row r="1797" ht="12.75" customHeight="1" x14ac:dyDescent="0.25"/>
    <row r="1798" ht="12.75" customHeight="1" x14ac:dyDescent="0.25"/>
    <row r="1799" ht="12.75" customHeight="1" x14ac:dyDescent="0.25"/>
    <row r="1800" ht="12.75" customHeight="1" x14ac:dyDescent="0.25"/>
    <row r="1801" ht="12.75" customHeight="1" x14ac:dyDescent="0.25"/>
    <row r="1802" ht="12.75" customHeight="1" x14ac:dyDescent="0.25"/>
    <row r="1803" ht="12.75" customHeight="1" x14ac:dyDescent="0.25"/>
    <row r="1804" ht="12.75" customHeight="1" x14ac:dyDescent="0.25"/>
    <row r="1805" ht="12.75" customHeight="1" x14ac:dyDescent="0.25"/>
    <row r="1806" ht="12.75" customHeight="1" x14ac:dyDescent="0.25"/>
    <row r="1807" ht="12.75" customHeight="1" x14ac:dyDescent="0.25"/>
    <row r="1808" ht="12.75" customHeight="1" x14ac:dyDescent="0.25"/>
    <row r="1809" ht="12.75" customHeight="1" x14ac:dyDescent="0.25"/>
    <row r="1810" ht="12.75" customHeight="1" x14ac:dyDescent="0.25"/>
    <row r="1811" ht="12.75" customHeight="1" x14ac:dyDescent="0.25"/>
    <row r="1812" ht="12.75" customHeight="1" x14ac:dyDescent="0.25"/>
    <row r="1813" ht="12.75" customHeight="1" x14ac:dyDescent="0.25"/>
    <row r="1814" ht="12.75" customHeight="1" x14ac:dyDescent="0.25"/>
    <row r="1815" ht="12.75" customHeight="1" x14ac:dyDescent="0.25"/>
    <row r="1816" ht="12.75" customHeight="1" x14ac:dyDescent="0.25"/>
    <row r="1817" ht="12.75" customHeight="1" x14ac:dyDescent="0.25"/>
    <row r="1818" ht="12.75" customHeight="1" x14ac:dyDescent="0.25"/>
    <row r="1819" ht="12.75" customHeight="1" x14ac:dyDescent="0.25"/>
    <row r="1820" ht="12.75" customHeight="1" x14ac:dyDescent="0.25"/>
    <row r="1821" ht="12.75" customHeight="1" x14ac:dyDescent="0.25"/>
    <row r="1822" ht="12.75" customHeight="1" x14ac:dyDescent="0.25"/>
    <row r="1823" ht="12.75" customHeight="1" x14ac:dyDescent="0.25"/>
    <row r="1824" ht="12.75" customHeight="1" x14ac:dyDescent="0.25"/>
    <row r="1825" ht="12.75" customHeight="1" x14ac:dyDescent="0.25"/>
    <row r="1826" ht="12.75" customHeight="1" x14ac:dyDescent="0.25"/>
    <row r="1827" ht="12.75" customHeight="1" x14ac:dyDescent="0.25"/>
    <row r="1828" ht="12.75" customHeight="1" x14ac:dyDescent="0.25"/>
    <row r="1829" ht="12.75" customHeight="1" x14ac:dyDescent="0.25"/>
    <row r="1830" ht="12.75" customHeight="1" x14ac:dyDescent="0.25"/>
    <row r="1831" ht="12.75" customHeight="1" x14ac:dyDescent="0.25"/>
    <row r="1832" ht="12.75" customHeight="1" x14ac:dyDescent="0.25"/>
    <row r="1833" ht="12.75" customHeight="1" x14ac:dyDescent="0.25"/>
    <row r="1834" ht="12.75" customHeight="1" x14ac:dyDescent="0.25"/>
    <row r="1835" ht="12.75" customHeight="1" x14ac:dyDescent="0.25"/>
    <row r="1836" ht="12.75" customHeight="1" x14ac:dyDescent="0.25"/>
    <row r="1837" ht="12.75" customHeight="1" x14ac:dyDescent="0.25"/>
    <row r="1838" ht="12.75" customHeight="1" x14ac:dyDescent="0.25"/>
    <row r="1839" ht="12.75" customHeight="1" x14ac:dyDescent="0.25"/>
    <row r="1840" ht="12.75" customHeight="1" x14ac:dyDescent="0.25"/>
    <row r="1841" ht="12.75" customHeight="1" x14ac:dyDescent="0.25"/>
    <row r="1842" ht="12.75" customHeight="1" x14ac:dyDescent="0.25"/>
    <row r="1843" ht="12.75" customHeight="1" x14ac:dyDescent="0.25"/>
    <row r="1844" ht="12.75" customHeight="1" x14ac:dyDescent="0.25"/>
    <row r="1845" ht="12.75" customHeight="1" x14ac:dyDescent="0.25"/>
    <row r="1846" ht="12.75" customHeight="1" x14ac:dyDescent="0.25"/>
    <row r="1847" ht="12.75" customHeight="1" x14ac:dyDescent="0.25"/>
    <row r="1848" ht="12.75" customHeight="1" x14ac:dyDescent="0.25"/>
    <row r="1849" ht="12.75" customHeight="1" x14ac:dyDescent="0.25"/>
    <row r="1850" ht="12.75" customHeight="1" x14ac:dyDescent="0.25"/>
    <row r="1851" ht="12.75" customHeight="1" x14ac:dyDescent="0.25"/>
    <row r="1852" ht="12.75" customHeight="1" x14ac:dyDescent="0.25"/>
    <row r="1853" ht="12.75" customHeight="1" x14ac:dyDescent="0.25"/>
    <row r="1854" ht="12.75" customHeight="1" x14ac:dyDescent="0.25"/>
    <row r="1855" ht="12.75" customHeight="1" x14ac:dyDescent="0.25"/>
    <row r="1856" ht="12.75" customHeight="1" x14ac:dyDescent="0.25"/>
    <row r="1857" ht="12.75" customHeight="1" x14ac:dyDescent="0.25"/>
    <row r="1858" ht="12.75" customHeight="1" x14ac:dyDescent="0.25"/>
    <row r="1859" ht="12.75" customHeight="1" x14ac:dyDescent="0.25"/>
    <row r="1860" ht="12.75" customHeight="1" x14ac:dyDescent="0.25"/>
    <row r="1861" ht="12.75" customHeight="1" x14ac:dyDescent="0.25"/>
    <row r="1862" ht="12.75" customHeight="1" x14ac:dyDescent="0.25"/>
    <row r="1863" ht="12.75" customHeight="1" x14ac:dyDescent="0.25"/>
    <row r="1864" ht="12.75" customHeight="1" x14ac:dyDescent="0.25"/>
    <row r="1865" ht="12.75" customHeight="1" x14ac:dyDescent="0.25"/>
    <row r="1866" ht="12.75" customHeight="1" x14ac:dyDescent="0.25"/>
    <row r="1867" ht="12.75" customHeight="1" x14ac:dyDescent="0.25"/>
    <row r="1868" ht="12.75" customHeight="1" x14ac:dyDescent="0.25"/>
    <row r="1869" ht="12.75" customHeight="1" x14ac:dyDescent="0.25"/>
    <row r="1870" ht="12.75" customHeight="1" x14ac:dyDescent="0.25"/>
    <row r="1871" ht="12.75" customHeight="1" x14ac:dyDescent="0.25"/>
    <row r="1872" ht="12.75" customHeight="1" x14ac:dyDescent="0.25"/>
    <row r="1873" ht="12.75" customHeight="1" x14ac:dyDescent="0.25"/>
    <row r="1874" ht="12.75" customHeight="1" x14ac:dyDescent="0.25"/>
    <row r="1875" ht="12.75" customHeight="1" x14ac:dyDescent="0.25"/>
    <row r="1876" ht="12.75" customHeight="1" x14ac:dyDescent="0.25"/>
    <row r="1877" ht="12.75" customHeight="1" x14ac:dyDescent="0.25"/>
    <row r="1878" ht="12.75" customHeight="1" x14ac:dyDescent="0.25"/>
    <row r="1879" ht="12.75" customHeight="1" x14ac:dyDescent="0.25"/>
    <row r="1880" ht="12.75" customHeight="1" x14ac:dyDescent="0.25"/>
    <row r="1881" ht="12.75" customHeight="1" x14ac:dyDescent="0.25"/>
    <row r="1882" ht="12.75" customHeight="1" x14ac:dyDescent="0.25"/>
    <row r="1883" ht="12.75" customHeight="1" x14ac:dyDescent="0.25"/>
    <row r="1884" ht="12.75" customHeight="1" x14ac:dyDescent="0.25"/>
    <row r="1885" ht="12.75" customHeight="1" x14ac:dyDescent="0.25"/>
    <row r="1886" ht="12.75" customHeight="1" x14ac:dyDescent="0.25"/>
    <row r="1887" ht="12.75" customHeight="1" x14ac:dyDescent="0.25"/>
    <row r="1888" ht="12.75" customHeight="1" x14ac:dyDescent="0.25"/>
    <row r="1889" spans="7:7" ht="12.75" customHeight="1" x14ac:dyDescent="0.25"/>
    <row r="1890" spans="7:7" ht="12.75" customHeight="1" x14ac:dyDescent="0.25"/>
    <row r="1891" spans="7:7" ht="12.75" customHeight="1" x14ac:dyDescent="0.25"/>
    <row r="1892" spans="7:7" ht="12.75" customHeight="1" x14ac:dyDescent="0.25"/>
    <row r="1893" spans="7:7" ht="12.75" customHeight="1" x14ac:dyDescent="0.25"/>
    <row r="1894" spans="7:7" ht="12.75" customHeight="1" x14ac:dyDescent="0.25"/>
    <row r="1895" spans="7:7" ht="12.75" customHeight="1" x14ac:dyDescent="0.25"/>
    <row r="1896" spans="7:7" ht="12.75" customHeight="1" x14ac:dyDescent="0.25"/>
    <row r="1897" spans="7:7" ht="12.75" customHeight="1" x14ac:dyDescent="0.25"/>
    <row r="1898" spans="7:7" ht="12.75" customHeight="1" x14ac:dyDescent="0.25"/>
    <row r="1899" spans="7:7" ht="12.75" customHeight="1" x14ac:dyDescent="0.25">
      <c r="G1899" s="17"/>
    </row>
    <row r="1900" spans="7:7" ht="12.75" customHeight="1" x14ac:dyDescent="0.25">
      <c r="G1900" s="17"/>
    </row>
    <row r="1901" spans="7:7" ht="12.75" customHeight="1" x14ac:dyDescent="0.25">
      <c r="G1901" s="18"/>
    </row>
    <row r="1902" spans="7:7" ht="12.75" customHeight="1" x14ac:dyDescent="0.25">
      <c r="G1902" s="18"/>
    </row>
    <row r="1903" spans="7:7" ht="12.75" customHeight="1" x14ac:dyDescent="0.25">
      <c r="G1903" s="18"/>
    </row>
    <row r="1904" spans="7:7" ht="12.75" customHeight="1" x14ac:dyDescent="0.25">
      <c r="G1904" s="18"/>
    </row>
    <row r="1905" spans="7:7" ht="12.75" customHeight="1" x14ac:dyDescent="0.25">
      <c r="G1905" s="18"/>
    </row>
    <row r="1906" spans="7:7" ht="12.75" customHeight="1" x14ac:dyDescent="0.25">
      <c r="G1906" s="18"/>
    </row>
    <row r="1907" spans="7:7" ht="12.75" customHeight="1" x14ac:dyDescent="0.25">
      <c r="G1907" s="18"/>
    </row>
    <row r="1908" spans="7:7" ht="12.75" customHeight="1" x14ac:dyDescent="0.25">
      <c r="G1908" s="18"/>
    </row>
    <row r="1909" spans="7:7" ht="12.75" customHeight="1" x14ac:dyDescent="0.25">
      <c r="G1909" s="18"/>
    </row>
    <row r="1910" spans="7:7" ht="12.75" customHeight="1" x14ac:dyDescent="0.25">
      <c r="G1910" s="18"/>
    </row>
    <row r="1911" spans="7:7" ht="12.75" customHeight="1" x14ac:dyDescent="0.25">
      <c r="G1911" s="18"/>
    </row>
    <row r="1912" spans="7:7" ht="12.75" customHeight="1" x14ac:dyDescent="0.25">
      <c r="G1912" s="18"/>
    </row>
    <row r="1913" spans="7:7" ht="12.75" customHeight="1" x14ac:dyDescent="0.25">
      <c r="G1913" s="18"/>
    </row>
    <row r="1914" spans="7:7" ht="12.75" customHeight="1" x14ac:dyDescent="0.25">
      <c r="G1914" s="18"/>
    </row>
    <row r="1915" spans="7:7" ht="12.75" customHeight="1" x14ac:dyDescent="0.25">
      <c r="G1915" s="18"/>
    </row>
    <row r="1916" spans="7:7" ht="12.75" customHeight="1" x14ac:dyDescent="0.25">
      <c r="G1916" s="18"/>
    </row>
    <row r="1917" spans="7:7" ht="12.75" customHeight="1" x14ac:dyDescent="0.25">
      <c r="G1917" s="18"/>
    </row>
    <row r="1918" spans="7:7" ht="12.75" customHeight="1" x14ac:dyDescent="0.25">
      <c r="G1918" s="18"/>
    </row>
    <row r="1919" spans="7:7" ht="12.75" customHeight="1" x14ac:dyDescent="0.25">
      <c r="G1919" s="18"/>
    </row>
    <row r="1920" spans="7:7" ht="12.75" customHeight="1" x14ac:dyDescent="0.25">
      <c r="G1920" s="18"/>
    </row>
    <row r="1921" spans="7:7" ht="12.75" customHeight="1" x14ac:dyDescent="0.25">
      <c r="G1921" s="18"/>
    </row>
    <row r="1922" spans="7:7" ht="12.75" customHeight="1" x14ac:dyDescent="0.25">
      <c r="G1922" s="18"/>
    </row>
    <row r="1923" spans="7:7" ht="12.75" customHeight="1" x14ac:dyDescent="0.25">
      <c r="G1923" s="18"/>
    </row>
    <row r="1924" spans="7:7" ht="12.75" customHeight="1" x14ac:dyDescent="0.25">
      <c r="G1924" s="19"/>
    </row>
    <row r="1925" spans="7:7" ht="12.75" customHeight="1" x14ac:dyDescent="0.25">
      <c r="G1925" s="19"/>
    </row>
    <row r="1926" spans="7:7" ht="12.75" customHeight="1" x14ac:dyDescent="0.25">
      <c r="G1926" s="19"/>
    </row>
    <row r="1927" spans="7:7" ht="12.75" customHeight="1" x14ac:dyDescent="0.25">
      <c r="G1927" s="19"/>
    </row>
    <row r="1928" spans="7:7" ht="12.75" customHeight="1" x14ac:dyDescent="0.25">
      <c r="G1928" s="19"/>
    </row>
    <row r="1929" spans="7:7" ht="12.75" customHeight="1" x14ac:dyDescent="0.25">
      <c r="G1929" s="19"/>
    </row>
    <row r="1930" spans="7:7" ht="12.75" customHeight="1" x14ac:dyDescent="0.25">
      <c r="G1930" s="19"/>
    </row>
    <row r="1931" spans="7:7" ht="12.75" customHeight="1" x14ac:dyDescent="0.25">
      <c r="G1931" s="19"/>
    </row>
    <row r="1932" spans="7:7" ht="12.75" customHeight="1" x14ac:dyDescent="0.25">
      <c r="G1932" s="19"/>
    </row>
    <row r="1933" spans="7:7" ht="12.75" customHeight="1" x14ac:dyDescent="0.25">
      <c r="G1933" s="19"/>
    </row>
    <row r="1934" spans="7:7" ht="12.75" customHeight="1" x14ac:dyDescent="0.25">
      <c r="G1934" s="19"/>
    </row>
    <row r="1935" spans="7:7" ht="12.75" customHeight="1" x14ac:dyDescent="0.25">
      <c r="G1935" s="19"/>
    </row>
    <row r="1936" spans="7:7" ht="12.75" customHeight="1" x14ac:dyDescent="0.25">
      <c r="G1936" s="19"/>
    </row>
    <row r="1937" spans="7:7" ht="12.75" customHeight="1" x14ac:dyDescent="0.25">
      <c r="G1937" s="19"/>
    </row>
    <row r="1938" spans="7:7" ht="12.75" customHeight="1" x14ac:dyDescent="0.25">
      <c r="G1938" s="19"/>
    </row>
    <row r="1939" spans="7:7" ht="12.75" customHeight="1" x14ac:dyDescent="0.25">
      <c r="G1939" s="19"/>
    </row>
    <row r="1940" spans="7:7" ht="12.75" customHeight="1" x14ac:dyDescent="0.25">
      <c r="G1940" s="19"/>
    </row>
    <row r="1941" spans="7:7" ht="12.75" customHeight="1" x14ac:dyDescent="0.25">
      <c r="G1941" s="19"/>
    </row>
    <row r="1942" spans="7:7" ht="12.75" customHeight="1" x14ac:dyDescent="0.25">
      <c r="G1942" s="19"/>
    </row>
    <row r="1943" spans="7:7" ht="12.75" customHeight="1" x14ac:dyDescent="0.25">
      <c r="G1943" s="19"/>
    </row>
    <row r="1944" spans="7:7" ht="12.75" customHeight="1" x14ac:dyDescent="0.25">
      <c r="G1944" s="19"/>
    </row>
    <row r="1945" spans="7:7" ht="12.75" customHeight="1" x14ac:dyDescent="0.25">
      <c r="G1945" s="19"/>
    </row>
    <row r="1946" spans="7:7" ht="12.75" customHeight="1" x14ac:dyDescent="0.25">
      <c r="G1946" s="19"/>
    </row>
    <row r="1947" spans="7:7" ht="12.75" customHeight="1" x14ac:dyDescent="0.25">
      <c r="G1947" s="19"/>
    </row>
    <row r="1948" spans="7:7" ht="12.75" customHeight="1" x14ac:dyDescent="0.25">
      <c r="G1948" s="19"/>
    </row>
    <row r="1949" spans="7:7" ht="12.75" customHeight="1" x14ac:dyDescent="0.25">
      <c r="G1949" s="19"/>
    </row>
    <row r="1950" spans="7:7" ht="12.75" customHeight="1" x14ac:dyDescent="0.25">
      <c r="G1950" s="19"/>
    </row>
    <row r="1951" spans="7:7" ht="12.75" customHeight="1" x14ac:dyDescent="0.25">
      <c r="G1951" s="19"/>
    </row>
    <row r="1952" spans="7:7" ht="12.75" customHeight="1" x14ac:dyDescent="0.25">
      <c r="G1952" s="19"/>
    </row>
    <row r="1953" spans="7:7" ht="12.75" customHeight="1" x14ac:dyDescent="0.25">
      <c r="G1953" s="19"/>
    </row>
    <row r="1954" spans="7:7" ht="12.75" customHeight="1" x14ac:dyDescent="0.25">
      <c r="G1954" s="19"/>
    </row>
    <row r="1955" spans="7:7" ht="12.75" customHeight="1" x14ac:dyDescent="0.25">
      <c r="G1955" s="19"/>
    </row>
    <row r="1956" spans="7:7" ht="12.75" customHeight="1" x14ac:dyDescent="0.25">
      <c r="G1956" s="19"/>
    </row>
    <row r="1957" spans="7:7" ht="12.75" customHeight="1" x14ac:dyDescent="0.25">
      <c r="G1957" s="19"/>
    </row>
    <row r="1958" spans="7:7" ht="12.75" customHeight="1" x14ac:dyDescent="0.25">
      <c r="G1958" s="19"/>
    </row>
    <row r="1959" spans="7:7" ht="12.75" customHeight="1" x14ac:dyDescent="0.25">
      <c r="G1959" s="19"/>
    </row>
    <row r="1960" spans="7:7" ht="12.75" customHeight="1" x14ac:dyDescent="0.25">
      <c r="G1960" s="19"/>
    </row>
    <row r="1961" spans="7:7" ht="12.75" customHeight="1" x14ac:dyDescent="0.25">
      <c r="G1961" s="19"/>
    </row>
    <row r="1962" spans="7:7" ht="12.75" customHeight="1" x14ac:dyDescent="0.25">
      <c r="G1962" s="19"/>
    </row>
    <row r="1963" spans="7:7" ht="12.75" customHeight="1" x14ac:dyDescent="0.25">
      <c r="G1963" s="19"/>
    </row>
    <row r="1964" spans="7:7" ht="12.75" customHeight="1" x14ac:dyDescent="0.25">
      <c r="G1964" s="19"/>
    </row>
    <row r="1965" spans="7:7" ht="12.75" customHeight="1" x14ac:dyDescent="0.25">
      <c r="G1965" s="19"/>
    </row>
    <row r="1966" spans="7:7" ht="12.75" customHeight="1" x14ac:dyDescent="0.25">
      <c r="G1966" s="19"/>
    </row>
    <row r="1967" spans="7:7" ht="12.75" customHeight="1" x14ac:dyDescent="0.25">
      <c r="G1967" s="19"/>
    </row>
    <row r="1968" spans="7:7" ht="12.75" customHeight="1" x14ac:dyDescent="0.25">
      <c r="G1968" s="19"/>
    </row>
    <row r="1969" spans="7:7" ht="12.75" customHeight="1" x14ac:dyDescent="0.25">
      <c r="G1969" s="19"/>
    </row>
    <row r="1970" spans="7:7" ht="12.75" customHeight="1" x14ac:dyDescent="0.25">
      <c r="G1970" s="19"/>
    </row>
    <row r="1971" spans="7:7" ht="12.75" customHeight="1" x14ac:dyDescent="0.25">
      <c r="G1971" s="19"/>
    </row>
    <row r="1972" spans="7:7" ht="12.75" customHeight="1" x14ac:dyDescent="0.25">
      <c r="G1972" s="19"/>
    </row>
    <row r="1973" spans="7:7" ht="12.75" customHeight="1" x14ac:dyDescent="0.25">
      <c r="G1973" s="19"/>
    </row>
    <row r="1974" spans="7:7" ht="12.75" customHeight="1" x14ac:dyDescent="0.25">
      <c r="G1974" s="19"/>
    </row>
    <row r="1975" spans="7:7" ht="12.75" customHeight="1" x14ac:dyDescent="0.25">
      <c r="G1975" s="19"/>
    </row>
    <row r="1976" spans="7:7" ht="12.75" customHeight="1" x14ac:dyDescent="0.25">
      <c r="G1976" s="19"/>
    </row>
    <row r="1977" spans="7:7" ht="12.75" customHeight="1" x14ac:dyDescent="0.25">
      <c r="G1977" s="19"/>
    </row>
    <row r="1978" spans="7:7" ht="12.75" customHeight="1" x14ac:dyDescent="0.25">
      <c r="G1978" s="19"/>
    </row>
    <row r="1979" spans="7:7" ht="12.75" customHeight="1" x14ac:dyDescent="0.25">
      <c r="G1979" s="19"/>
    </row>
    <row r="1980" spans="7:7" ht="12.75" customHeight="1" x14ac:dyDescent="0.25">
      <c r="G1980" s="19"/>
    </row>
    <row r="1981" spans="7:7" ht="12.75" customHeight="1" x14ac:dyDescent="0.25">
      <c r="G1981" s="19"/>
    </row>
    <row r="1982" spans="7:7" ht="12.75" customHeight="1" x14ac:dyDescent="0.25">
      <c r="G1982" s="19"/>
    </row>
    <row r="1983" spans="7:7" ht="12.75" customHeight="1" x14ac:dyDescent="0.25">
      <c r="G1983" s="19"/>
    </row>
    <row r="1984" spans="7:7" ht="12.75" customHeight="1" x14ac:dyDescent="0.25">
      <c r="G1984" s="19"/>
    </row>
    <row r="1985" spans="7:7" ht="12.75" customHeight="1" x14ac:dyDescent="0.25">
      <c r="G1985" s="19"/>
    </row>
    <row r="1986" spans="7:7" ht="12.75" customHeight="1" x14ac:dyDescent="0.25">
      <c r="G1986" s="19"/>
    </row>
    <row r="1987" spans="7:7" ht="12.75" customHeight="1" x14ac:dyDescent="0.25">
      <c r="G1987" s="19"/>
    </row>
    <row r="1988" spans="7:7" ht="12.75" customHeight="1" x14ac:dyDescent="0.25">
      <c r="G1988" s="19"/>
    </row>
    <row r="1989" spans="7:7" ht="12.75" customHeight="1" x14ac:dyDescent="0.25">
      <c r="G1989" s="19"/>
    </row>
    <row r="1990" spans="7:7" ht="12.75" customHeight="1" x14ac:dyDescent="0.25">
      <c r="G1990" s="19"/>
    </row>
    <row r="1991" spans="7:7" ht="12.75" customHeight="1" x14ac:dyDescent="0.25">
      <c r="G1991" s="19"/>
    </row>
    <row r="1992" spans="7:7" ht="12.75" customHeight="1" x14ac:dyDescent="0.25">
      <c r="G1992" s="19"/>
    </row>
    <row r="1993" spans="7:7" ht="12.75" customHeight="1" x14ac:dyDescent="0.25">
      <c r="G1993" s="19"/>
    </row>
    <row r="1994" spans="7:7" ht="12.75" customHeight="1" x14ac:dyDescent="0.25">
      <c r="G1994" s="19"/>
    </row>
    <row r="1995" spans="7:7" ht="12.75" customHeight="1" x14ac:dyDescent="0.25">
      <c r="G1995" s="19"/>
    </row>
    <row r="1996" spans="7:7" ht="12.75" customHeight="1" x14ac:dyDescent="0.25">
      <c r="G1996" s="19"/>
    </row>
    <row r="1997" spans="7:7" ht="12.75" customHeight="1" x14ac:dyDescent="0.25">
      <c r="G1997" s="19"/>
    </row>
    <row r="1998" spans="7:7" ht="12.75" customHeight="1" x14ac:dyDescent="0.25">
      <c r="G1998" s="19"/>
    </row>
    <row r="1999" spans="7:7" ht="12.75" customHeight="1" x14ac:dyDescent="0.25">
      <c r="G1999" s="19"/>
    </row>
    <row r="2000" spans="7:7" ht="12.75" customHeight="1" x14ac:dyDescent="0.25">
      <c r="G2000" s="19"/>
    </row>
    <row r="2001" spans="7:7" ht="12.75" customHeight="1" x14ac:dyDescent="0.25">
      <c r="G2001" s="19"/>
    </row>
    <row r="2002" spans="7:7" ht="12.75" customHeight="1" x14ac:dyDescent="0.25">
      <c r="G2002" s="19"/>
    </row>
    <row r="2003" spans="7:7" ht="12.75" customHeight="1" x14ac:dyDescent="0.25">
      <c r="G2003" s="19"/>
    </row>
    <row r="2004" spans="7:7" ht="12.75" customHeight="1" x14ac:dyDescent="0.25">
      <c r="G2004" s="19"/>
    </row>
    <row r="2005" spans="7:7" ht="12.75" customHeight="1" x14ac:dyDescent="0.25">
      <c r="G2005" s="19"/>
    </row>
    <row r="2006" spans="7:7" ht="12.75" customHeight="1" x14ac:dyDescent="0.25">
      <c r="G2006" s="19"/>
    </row>
    <row r="2007" spans="7:7" ht="12.75" customHeight="1" x14ac:dyDescent="0.25">
      <c r="G2007" s="19"/>
    </row>
    <row r="2008" spans="7:7" ht="12.75" customHeight="1" x14ac:dyDescent="0.25">
      <c r="G2008" s="19"/>
    </row>
    <row r="2009" spans="7:7" ht="12.75" customHeight="1" x14ac:dyDescent="0.25">
      <c r="G2009" s="19"/>
    </row>
    <row r="2010" spans="7:7" ht="12.75" customHeight="1" x14ac:dyDescent="0.25">
      <c r="G2010" s="19"/>
    </row>
    <row r="2011" spans="7:7" ht="12.75" customHeight="1" x14ac:dyDescent="0.25">
      <c r="G2011" s="19"/>
    </row>
    <row r="2012" spans="7:7" ht="12.75" customHeight="1" x14ac:dyDescent="0.25">
      <c r="G2012" s="19"/>
    </row>
    <row r="2013" spans="7:7" ht="12.75" customHeight="1" x14ac:dyDescent="0.25">
      <c r="G2013" s="19"/>
    </row>
    <row r="2014" spans="7:7" ht="12.75" customHeight="1" x14ac:dyDescent="0.25">
      <c r="G2014" s="19"/>
    </row>
    <row r="2015" spans="7:7" ht="12.75" customHeight="1" x14ac:dyDescent="0.25">
      <c r="G2015" s="19"/>
    </row>
    <row r="2016" spans="7:7" ht="12.75" customHeight="1" x14ac:dyDescent="0.25">
      <c r="G2016" s="19"/>
    </row>
    <row r="2017" spans="7:7" ht="12.75" customHeight="1" x14ac:dyDescent="0.25">
      <c r="G2017" s="19"/>
    </row>
    <row r="2018" spans="7:7" ht="12.75" customHeight="1" x14ac:dyDescent="0.25">
      <c r="G2018" s="19"/>
    </row>
    <row r="2019" spans="7:7" ht="12.75" customHeight="1" x14ac:dyDescent="0.25">
      <c r="G2019" s="19"/>
    </row>
    <row r="2020" spans="7:7" ht="12.75" customHeight="1" x14ac:dyDescent="0.25">
      <c r="G2020" s="19"/>
    </row>
    <row r="2021" spans="7:7" ht="12.75" customHeight="1" x14ac:dyDescent="0.25">
      <c r="G2021" s="19"/>
    </row>
    <row r="2022" spans="7:7" ht="12.75" customHeight="1" x14ac:dyDescent="0.25">
      <c r="G2022" s="19"/>
    </row>
    <row r="2023" spans="7:7" ht="12.75" customHeight="1" x14ac:dyDescent="0.25">
      <c r="G2023" s="19"/>
    </row>
    <row r="2024" spans="7:7" ht="12.75" customHeight="1" x14ac:dyDescent="0.25">
      <c r="G2024" s="19"/>
    </row>
    <row r="2025" spans="7:7" ht="12.75" customHeight="1" x14ac:dyDescent="0.25">
      <c r="G2025" s="19"/>
    </row>
    <row r="2026" spans="7:7" ht="12.75" customHeight="1" x14ac:dyDescent="0.25">
      <c r="G2026" s="19"/>
    </row>
    <row r="2027" spans="7:7" ht="12.75" customHeight="1" x14ac:dyDescent="0.25">
      <c r="G2027" s="19"/>
    </row>
    <row r="2028" spans="7:7" ht="12.75" customHeight="1" x14ac:dyDescent="0.25">
      <c r="G2028" s="19"/>
    </row>
    <row r="2029" spans="7:7" ht="12.75" customHeight="1" x14ac:dyDescent="0.25">
      <c r="G2029" s="19"/>
    </row>
    <row r="2030" spans="7:7" ht="12.75" customHeight="1" x14ac:dyDescent="0.25">
      <c r="G2030" s="19"/>
    </row>
    <row r="2031" spans="7:7" ht="12.75" customHeight="1" x14ac:dyDescent="0.25">
      <c r="G2031" s="19"/>
    </row>
    <row r="2032" spans="7:7" ht="12.75" customHeight="1" x14ac:dyDescent="0.25">
      <c r="G2032" s="19"/>
    </row>
    <row r="2033" spans="7:7" ht="12.75" customHeight="1" x14ac:dyDescent="0.25">
      <c r="G2033" s="19"/>
    </row>
    <row r="2034" spans="7:7" ht="12.75" customHeight="1" x14ac:dyDescent="0.25">
      <c r="G2034" s="19"/>
    </row>
    <row r="2035" spans="7:7" ht="12.75" customHeight="1" x14ac:dyDescent="0.25">
      <c r="G2035" s="19"/>
    </row>
    <row r="2036" spans="7:7" ht="12.75" customHeight="1" x14ac:dyDescent="0.25">
      <c r="G2036" s="19"/>
    </row>
    <row r="2037" spans="7:7" ht="12.75" customHeight="1" x14ac:dyDescent="0.25">
      <c r="G2037" s="19"/>
    </row>
    <row r="2038" spans="7:7" ht="12.75" customHeight="1" x14ac:dyDescent="0.25">
      <c r="G2038" s="19"/>
    </row>
    <row r="2039" spans="7:7" ht="12.75" customHeight="1" x14ac:dyDescent="0.25">
      <c r="G2039" s="19"/>
    </row>
    <row r="2040" spans="7:7" ht="12.75" customHeight="1" x14ac:dyDescent="0.25">
      <c r="G2040" s="19"/>
    </row>
    <row r="2041" spans="7:7" ht="12.75" customHeight="1" x14ac:dyDescent="0.25">
      <c r="G2041" s="19"/>
    </row>
    <row r="2042" spans="7:7" ht="12.75" customHeight="1" x14ac:dyDescent="0.25">
      <c r="G2042" s="19"/>
    </row>
    <row r="2043" spans="7:7" ht="12.75" customHeight="1" x14ac:dyDescent="0.25">
      <c r="G2043" s="19"/>
    </row>
    <row r="2044" spans="7:7" ht="12.75" customHeight="1" x14ac:dyDescent="0.25">
      <c r="G2044" s="19"/>
    </row>
    <row r="2045" spans="7:7" ht="12.75" customHeight="1" x14ac:dyDescent="0.25">
      <c r="G2045" s="19"/>
    </row>
    <row r="2046" spans="7:7" ht="12.75" customHeight="1" x14ac:dyDescent="0.25">
      <c r="G2046" s="19"/>
    </row>
    <row r="2047" spans="7:7" ht="12.75" customHeight="1" x14ac:dyDescent="0.25">
      <c r="G2047" s="19"/>
    </row>
    <row r="2048" spans="7:7" ht="12.75" customHeight="1" x14ac:dyDescent="0.25">
      <c r="G2048" s="19"/>
    </row>
    <row r="2049" spans="7:7" ht="12.75" customHeight="1" x14ac:dyDescent="0.25">
      <c r="G2049" s="19"/>
    </row>
    <row r="2050" spans="7:7" ht="12.75" customHeight="1" x14ac:dyDescent="0.25">
      <c r="G2050" s="19"/>
    </row>
    <row r="2051" spans="7:7" ht="12.75" customHeight="1" x14ac:dyDescent="0.25">
      <c r="G2051" s="19"/>
    </row>
    <row r="2052" spans="7:7" ht="12.75" customHeight="1" x14ac:dyDescent="0.25">
      <c r="G2052" s="19"/>
    </row>
    <row r="2053" spans="7:7" ht="12.75" customHeight="1" x14ac:dyDescent="0.25">
      <c r="G2053" s="19"/>
    </row>
    <row r="2054" spans="7:7" ht="12.75" customHeight="1" x14ac:dyDescent="0.25">
      <c r="G2054" s="19"/>
    </row>
    <row r="2055" spans="7:7" ht="12.75" customHeight="1" x14ac:dyDescent="0.25">
      <c r="G2055" s="19"/>
    </row>
    <row r="2056" spans="7:7" ht="12.75" customHeight="1" x14ac:dyDescent="0.25">
      <c r="G2056" s="19"/>
    </row>
    <row r="2057" spans="7:7" ht="12.75" customHeight="1" x14ac:dyDescent="0.25">
      <c r="G2057" s="19"/>
    </row>
    <row r="2058" spans="7:7" ht="12.75" customHeight="1" x14ac:dyDescent="0.25">
      <c r="G2058" s="19"/>
    </row>
    <row r="2059" spans="7:7" ht="12.75" customHeight="1" x14ac:dyDescent="0.25">
      <c r="G2059" s="19"/>
    </row>
    <row r="2060" spans="7:7" ht="12.75" customHeight="1" x14ac:dyDescent="0.25">
      <c r="G2060" s="19"/>
    </row>
    <row r="2061" spans="7:7" ht="12.75" customHeight="1" x14ac:dyDescent="0.25">
      <c r="G2061" s="19"/>
    </row>
    <row r="2062" spans="7:7" ht="12.75" customHeight="1" x14ac:dyDescent="0.25">
      <c r="G2062" s="19"/>
    </row>
    <row r="2063" spans="7:7" ht="12.75" customHeight="1" x14ac:dyDescent="0.25">
      <c r="G2063" s="19"/>
    </row>
    <row r="2064" spans="7:7" ht="12.75" customHeight="1" x14ac:dyDescent="0.25">
      <c r="G2064" s="19"/>
    </row>
    <row r="2065" spans="7:7" ht="12.75" customHeight="1" x14ac:dyDescent="0.25">
      <c r="G2065" s="19"/>
    </row>
    <row r="2066" spans="7:7" ht="12.75" customHeight="1" x14ac:dyDescent="0.25">
      <c r="G2066" s="19"/>
    </row>
    <row r="2067" spans="7:7" ht="12.75" customHeight="1" x14ac:dyDescent="0.25">
      <c r="G2067" s="19"/>
    </row>
    <row r="2068" spans="7:7" ht="12.75" customHeight="1" x14ac:dyDescent="0.25">
      <c r="G2068" s="19"/>
    </row>
    <row r="2069" spans="7:7" ht="12.75" customHeight="1" x14ac:dyDescent="0.25">
      <c r="G2069" s="19"/>
    </row>
    <row r="2070" spans="7:7" ht="12.75" customHeight="1" x14ac:dyDescent="0.25">
      <c r="G2070" s="19"/>
    </row>
    <row r="2071" spans="7:7" ht="12.75" customHeight="1" x14ac:dyDescent="0.25">
      <c r="G2071" s="19"/>
    </row>
    <row r="2072" spans="7:7" ht="12.75" customHeight="1" x14ac:dyDescent="0.25">
      <c r="G2072" s="19"/>
    </row>
    <row r="2073" spans="7:7" ht="12.75" customHeight="1" x14ac:dyDescent="0.25">
      <c r="G2073" s="19"/>
    </row>
    <row r="2074" spans="7:7" ht="12.75" customHeight="1" x14ac:dyDescent="0.25">
      <c r="G2074" s="19"/>
    </row>
    <row r="2075" spans="7:7" ht="12.75" customHeight="1" x14ac:dyDescent="0.25">
      <c r="G2075" s="19"/>
    </row>
    <row r="2076" spans="7:7" ht="12.75" customHeight="1" x14ac:dyDescent="0.25">
      <c r="G2076" s="19"/>
    </row>
    <row r="2077" spans="7:7" ht="12.75" customHeight="1" x14ac:dyDescent="0.25">
      <c r="G2077" s="19"/>
    </row>
    <row r="2078" spans="7:7" ht="12.75" customHeight="1" x14ac:dyDescent="0.25">
      <c r="G2078" s="19"/>
    </row>
    <row r="2079" spans="7:7" ht="12.75" customHeight="1" x14ac:dyDescent="0.25">
      <c r="G2079" s="19"/>
    </row>
    <row r="2080" spans="7:7" ht="12.75" customHeight="1" x14ac:dyDescent="0.25">
      <c r="G2080" s="19"/>
    </row>
    <row r="2081" spans="7:7" ht="12.75" customHeight="1" x14ac:dyDescent="0.25">
      <c r="G2081" s="19"/>
    </row>
    <row r="2082" spans="7:7" ht="12.75" customHeight="1" x14ac:dyDescent="0.25">
      <c r="G2082" s="19"/>
    </row>
    <row r="2083" spans="7:7" ht="12.75" customHeight="1" x14ac:dyDescent="0.25">
      <c r="G2083" s="19"/>
    </row>
    <row r="2084" spans="7:7" ht="12.75" customHeight="1" x14ac:dyDescent="0.25">
      <c r="G2084" s="19"/>
    </row>
    <row r="2085" spans="7:7" ht="12.75" customHeight="1" x14ac:dyDescent="0.25">
      <c r="G2085" s="19"/>
    </row>
    <row r="2086" spans="7:7" ht="12.75" customHeight="1" x14ac:dyDescent="0.25">
      <c r="G2086" s="19"/>
    </row>
    <row r="2087" spans="7:7" ht="12.75" customHeight="1" x14ac:dyDescent="0.25">
      <c r="G2087" s="19"/>
    </row>
    <row r="2088" spans="7:7" ht="12.75" customHeight="1" x14ac:dyDescent="0.25">
      <c r="G2088" s="19"/>
    </row>
    <row r="2089" spans="7:7" ht="12.75" customHeight="1" x14ac:dyDescent="0.25">
      <c r="G2089" s="19"/>
    </row>
    <row r="2090" spans="7:7" ht="12.75" customHeight="1" x14ac:dyDescent="0.25">
      <c r="G2090" s="19"/>
    </row>
    <row r="2091" spans="7:7" ht="12.75" customHeight="1" x14ac:dyDescent="0.25">
      <c r="G2091" s="19"/>
    </row>
    <row r="2092" spans="7:7" ht="12.75" customHeight="1" x14ac:dyDescent="0.25">
      <c r="G2092" s="19"/>
    </row>
    <row r="2093" spans="7:7" ht="12.75" customHeight="1" x14ac:dyDescent="0.25">
      <c r="G2093" s="19"/>
    </row>
    <row r="2094" spans="7:7" ht="12.75" customHeight="1" x14ac:dyDescent="0.25">
      <c r="G2094" s="19"/>
    </row>
    <row r="2095" spans="7:7" ht="12.75" customHeight="1" x14ac:dyDescent="0.25">
      <c r="G2095" s="19"/>
    </row>
    <row r="2096" spans="7:7" ht="12.75" customHeight="1" x14ac:dyDescent="0.25">
      <c r="G2096" s="19"/>
    </row>
    <row r="2097" spans="7:7" ht="12.75" customHeight="1" x14ac:dyDescent="0.25">
      <c r="G2097" s="19"/>
    </row>
    <row r="2098" spans="7:7" ht="12.75" customHeight="1" x14ac:dyDescent="0.25">
      <c r="G2098" s="19"/>
    </row>
    <row r="2099" spans="7:7" ht="12.75" customHeight="1" x14ac:dyDescent="0.25">
      <c r="G2099" s="19"/>
    </row>
    <row r="2100" spans="7:7" ht="12.75" customHeight="1" x14ac:dyDescent="0.25">
      <c r="G2100" s="19"/>
    </row>
    <row r="2101" spans="7:7" ht="12.75" customHeight="1" x14ac:dyDescent="0.25">
      <c r="G2101" s="19"/>
    </row>
    <row r="2102" spans="7:7" ht="12.75" customHeight="1" x14ac:dyDescent="0.25">
      <c r="G2102" s="19"/>
    </row>
    <row r="2103" spans="7:7" ht="12.75" customHeight="1" x14ac:dyDescent="0.25">
      <c r="G2103" s="19"/>
    </row>
    <row r="2104" spans="7:7" ht="12.75" customHeight="1" x14ac:dyDescent="0.25">
      <c r="G2104" s="19"/>
    </row>
    <row r="2105" spans="7:7" ht="12.75" customHeight="1" x14ac:dyDescent="0.25">
      <c r="G2105" s="19"/>
    </row>
    <row r="2106" spans="7:7" ht="12.75" customHeight="1" x14ac:dyDescent="0.25">
      <c r="G2106" s="19"/>
    </row>
    <row r="2107" spans="7:7" ht="12.75" customHeight="1" x14ac:dyDescent="0.25">
      <c r="G2107" s="19"/>
    </row>
    <row r="2108" spans="7:7" ht="12.75" customHeight="1" x14ac:dyDescent="0.25">
      <c r="G2108" s="19"/>
    </row>
    <row r="2109" spans="7:7" ht="12.75" customHeight="1" x14ac:dyDescent="0.25">
      <c r="G2109" s="19"/>
    </row>
    <row r="2110" spans="7:7" ht="12.75" customHeight="1" x14ac:dyDescent="0.25">
      <c r="G2110" s="19"/>
    </row>
    <row r="2111" spans="7:7" ht="12.75" customHeight="1" x14ac:dyDescent="0.25">
      <c r="G2111" s="19"/>
    </row>
    <row r="2112" spans="7:7" ht="12.75" customHeight="1" x14ac:dyDescent="0.25">
      <c r="G2112" s="19"/>
    </row>
    <row r="2113" spans="7:7" ht="12.75" customHeight="1" x14ac:dyDescent="0.25">
      <c r="G2113" s="19"/>
    </row>
    <row r="2114" spans="7:7" ht="12.75" customHeight="1" x14ac:dyDescent="0.25">
      <c r="G2114" s="19"/>
    </row>
    <row r="2115" spans="7:7" ht="12.75" customHeight="1" x14ac:dyDescent="0.25">
      <c r="G2115" s="19"/>
    </row>
    <row r="2116" spans="7:7" ht="12.75" customHeight="1" x14ac:dyDescent="0.25">
      <c r="G2116" s="19"/>
    </row>
    <row r="2117" spans="7:7" ht="12.75" customHeight="1" x14ac:dyDescent="0.25">
      <c r="G2117" s="19"/>
    </row>
    <row r="2118" spans="7:7" ht="12.75" customHeight="1" x14ac:dyDescent="0.25">
      <c r="G2118" s="19"/>
    </row>
    <row r="2119" spans="7:7" ht="12.75" customHeight="1" x14ac:dyDescent="0.25">
      <c r="G2119" s="19"/>
    </row>
    <row r="2120" spans="7:7" ht="12.75" customHeight="1" x14ac:dyDescent="0.25">
      <c r="G2120" s="19"/>
    </row>
    <row r="2121" spans="7:7" ht="12.75" customHeight="1" x14ac:dyDescent="0.25">
      <c r="G2121" s="19"/>
    </row>
    <row r="2122" spans="7:7" ht="12.75" customHeight="1" x14ac:dyDescent="0.25">
      <c r="G2122" s="19"/>
    </row>
    <row r="2123" spans="7:7" ht="12.75" customHeight="1" x14ac:dyDescent="0.25">
      <c r="G2123" s="19"/>
    </row>
    <row r="2124" spans="7:7" ht="12.75" customHeight="1" x14ac:dyDescent="0.25">
      <c r="G2124" s="19"/>
    </row>
    <row r="2125" spans="7:7" ht="12.75" customHeight="1" x14ac:dyDescent="0.25">
      <c r="G2125" s="19"/>
    </row>
    <row r="2126" spans="7:7" ht="12.75" customHeight="1" x14ac:dyDescent="0.25">
      <c r="G2126" s="19"/>
    </row>
    <row r="2127" spans="7:7" ht="12.75" customHeight="1" x14ac:dyDescent="0.25">
      <c r="G2127" s="19"/>
    </row>
    <row r="2128" spans="7:7" ht="12.75" customHeight="1" x14ac:dyDescent="0.25">
      <c r="G2128" s="19"/>
    </row>
    <row r="2129" spans="7:7" ht="12.75" customHeight="1" x14ac:dyDescent="0.25">
      <c r="G2129" s="19"/>
    </row>
    <row r="2130" spans="7:7" ht="12.75" customHeight="1" x14ac:dyDescent="0.25">
      <c r="G2130" s="19"/>
    </row>
    <row r="2131" spans="7:7" ht="12.75" customHeight="1" x14ac:dyDescent="0.25">
      <c r="G2131" s="19"/>
    </row>
    <row r="2132" spans="7:7" ht="12.75" customHeight="1" x14ac:dyDescent="0.25">
      <c r="G2132" s="19"/>
    </row>
    <row r="2133" spans="7:7" ht="12.75" customHeight="1" x14ac:dyDescent="0.25">
      <c r="G2133" s="19"/>
    </row>
    <row r="2134" spans="7:7" ht="12.75" customHeight="1" x14ac:dyDescent="0.25">
      <c r="G2134" s="19"/>
    </row>
    <row r="2135" spans="7:7" ht="12.75" customHeight="1" x14ac:dyDescent="0.25">
      <c r="G2135" s="19"/>
    </row>
    <row r="2136" spans="7:7" ht="12.75" customHeight="1" x14ac:dyDescent="0.25">
      <c r="G2136" s="19"/>
    </row>
    <row r="2137" spans="7:7" ht="12.75" customHeight="1" x14ac:dyDescent="0.25">
      <c r="G2137" s="19"/>
    </row>
    <row r="2138" spans="7:7" ht="12.75" customHeight="1" x14ac:dyDescent="0.25">
      <c r="G2138" s="19"/>
    </row>
    <row r="2139" spans="7:7" ht="12.75" customHeight="1" x14ac:dyDescent="0.25">
      <c r="G2139" s="19"/>
    </row>
    <row r="2140" spans="7:7" ht="12.75" customHeight="1" x14ac:dyDescent="0.25">
      <c r="G2140" s="19"/>
    </row>
    <row r="2141" spans="7:7" ht="12.75" customHeight="1" x14ac:dyDescent="0.25">
      <c r="G2141" s="19"/>
    </row>
    <row r="2142" spans="7:7" ht="12.75" customHeight="1" x14ac:dyDescent="0.25">
      <c r="G2142" s="19"/>
    </row>
    <row r="2143" spans="7:7" ht="12.75" customHeight="1" x14ac:dyDescent="0.25">
      <c r="G2143" s="19"/>
    </row>
    <row r="2144" spans="7:7" ht="12.75" customHeight="1" x14ac:dyDescent="0.25">
      <c r="G2144" s="19"/>
    </row>
    <row r="2145" spans="7:7" ht="12.75" customHeight="1" x14ac:dyDescent="0.25">
      <c r="G2145" s="19"/>
    </row>
    <row r="2146" spans="7:7" ht="12.75" customHeight="1" x14ac:dyDescent="0.25">
      <c r="G2146" s="19"/>
    </row>
    <row r="2147" spans="7:7" ht="12.75" customHeight="1" x14ac:dyDescent="0.25">
      <c r="G2147" s="19"/>
    </row>
    <row r="2148" spans="7:7" ht="12.75" customHeight="1" x14ac:dyDescent="0.25">
      <c r="G2148" s="19"/>
    </row>
    <row r="2149" spans="7:7" ht="12.75" customHeight="1" x14ac:dyDescent="0.25">
      <c r="G2149" s="19"/>
    </row>
    <row r="2150" spans="7:7" ht="12.75" customHeight="1" x14ac:dyDescent="0.25">
      <c r="G2150" s="19"/>
    </row>
    <row r="2151" spans="7:7" ht="12.75" customHeight="1" x14ac:dyDescent="0.25">
      <c r="G2151" s="19"/>
    </row>
    <row r="2152" spans="7:7" ht="12.75" customHeight="1" x14ac:dyDescent="0.25">
      <c r="G2152" s="19"/>
    </row>
    <row r="2153" spans="7:7" ht="12.75" customHeight="1" x14ac:dyDescent="0.25">
      <c r="G2153" s="19"/>
    </row>
    <row r="2154" spans="7:7" ht="12.75" customHeight="1" x14ac:dyDescent="0.25">
      <c r="G2154" s="19"/>
    </row>
    <row r="2155" spans="7:7" ht="12.75" customHeight="1" x14ac:dyDescent="0.25">
      <c r="G2155" s="19"/>
    </row>
    <row r="2156" spans="7:7" ht="12.75" customHeight="1" x14ac:dyDescent="0.25">
      <c r="G2156" s="19"/>
    </row>
    <row r="2157" spans="7:7" ht="12.75" customHeight="1" x14ac:dyDescent="0.25">
      <c r="G2157" s="19"/>
    </row>
    <row r="2158" spans="7:7" ht="12.75" customHeight="1" x14ac:dyDescent="0.25">
      <c r="G2158" s="19"/>
    </row>
    <row r="2159" spans="7:7" ht="12.75" customHeight="1" x14ac:dyDescent="0.25">
      <c r="G2159" s="19"/>
    </row>
    <row r="2160" spans="7:7" ht="12.75" customHeight="1" x14ac:dyDescent="0.25">
      <c r="G2160" s="19"/>
    </row>
    <row r="2161" spans="7:7" ht="12.75" customHeight="1" x14ac:dyDescent="0.25">
      <c r="G2161" s="19"/>
    </row>
    <row r="2162" spans="7:7" ht="12.75" customHeight="1" x14ac:dyDescent="0.25">
      <c r="G2162" s="19"/>
    </row>
    <row r="2163" spans="7:7" ht="12.75" customHeight="1" x14ac:dyDescent="0.25">
      <c r="G2163" s="19"/>
    </row>
    <row r="2164" spans="7:7" ht="12.75" customHeight="1" x14ac:dyDescent="0.25">
      <c r="G2164" s="19"/>
    </row>
    <row r="2165" spans="7:7" ht="12.75" customHeight="1" x14ac:dyDescent="0.25">
      <c r="G2165" s="19"/>
    </row>
    <row r="2166" spans="7:7" ht="12.75" customHeight="1" x14ac:dyDescent="0.25">
      <c r="G2166" s="19"/>
    </row>
    <row r="2167" spans="7:7" ht="12.75" customHeight="1" x14ac:dyDescent="0.25">
      <c r="G2167" s="19"/>
    </row>
    <row r="2168" spans="7:7" ht="12.75" customHeight="1" x14ac:dyDescent="0.25">
      <c r="G2168" s="19"/>
    </row>
    <row r="2169" spans="7:7" ht="12.75" customHeight="1" x14ac:dyDescent="0.25">
      <c r="G2169" s="19"/>
    </row>
    <row r="2170" spans="7:7" ht="12.75" customHeight="1" x14ac:dyDescent="0.25">
      <c r="G2170" s="19"/>
    </row>
    <row r="2171" spans="7:7" ht="12.75" customHeight="1" x14ac:dyDescent="0.25">
      <c r="G2171" s="19"/>
    </row>
    <row r="2172" spans="7:7" ht="12.75" customHeight="1" x14ac:dyDescent="0.25">
      <c r="G2172" s="19"/>
    </row>
    <row r="2173" spans="7:7" ht="12.75" customHeight="1" x14ac:dyDescent="0.25">
      <c r="G2173" s="19"/>
    </row>
    <row r="2174" spans="7:7" ht="12.75" customHeight="1" x14ac:dyDescent="0.25">
      <c r="G2174" s="19"/>
    </row>
    <row r="2175" spans="7:7" ht="12.75" customHeight="1" x14ac:dyDescent="0.25">
      <c r="G2175" s="19"/>
    </row>
    <row r="2176" spans="7:7" ht="12.75" customHeight="1" x14ac:dyDescent="0.25">
      <c r="G2176" s="19"/>
    </row>
    <row r="2177" spans="7:7" ht="12.75" customHeight="1" x14ac:dyDescent="0.25">
      <c r="G2177" s="19"/>
    </row>
    <row r="2178" spans="7:7" ht="12.75" customHeight="1" x14ac:dyDescent="0.25">
      <c r="G2178" s="19"/>
    </row>
    <row r="2179" spans="7:7" ht="12.75" customHeight="1" x14ac:dyDescent="0.25">
      <c r="G2179" s="19"/>
    </row>
    <row r="2180" spans="7:7" ht="12.75" customHeight="1" x14ac:dyDescent="0.25">
      <c r="G2180" s="19"/>
    </row>
    <row r="2181" spans="7:7" ht="12.75" customHeight="1" x14ac:dyDescent="0.25">
      <c r="G2181" s="19"/>
    </row>
    <row r="2182" spans="7:7" ht="12.75" customHeight="1" x14ac:dyDescent="0.25">
      <c r="G2182" s="19"/>
    </row>
    <row r="2183" spans="7:7" ht="12.75" customHeight="1" x14ac:dyDescent="0.25">
      <c r="G2183" s="19"/>
    </row>
    <row r="2184" spans="7:7" ht="12.75" customHeight="1" x14ac:dyDescent="0.25">
      <c r="G2184" s="19"/>
    </row>
    <row r="2185" spans="7:7" ht="12.75" customHeight="1" x14ac:dyDescent="0.25">
      <c r="G2185" s="19"/>
    </row>
    <row r="2186" spans="7:7" ht="12.75" customHeight="1" x14ac:dyDescent="0.25">
      <c r="G2186" s="19"/>
    </row>
    <row r="2187" spans="7:7" ht="12.75" customHeight="1" x14ac:dyDescent="0.25">
      <c r="G2187" s="19"/>
    </row>
    <row r="2188" spans="7:7" ht="12.75" customHeight="1" x14ac:dyDescent="0.25">
      <c r="G2188" s="19"/>
    </row>
    <row r="2189" spans="7:7" ht="12.75" customHeight="1" x14ac:dyDescent="0.25">
      <c r="G2189" s="19"/>
    </row>
    <row r="2190" spans="7:7" ht="12.75" customHeight="1" x14ac:dyDescent="0.25">
      <c r="G2190" s="19"/>
    </row>
    <row r="2191" spans="7:7" ht="12.75" customHeight="1" x14ac:dyDescent="0.25">
      <c r="G2191" s="19"/>
    </row>
    <row r="2192" spans="7:7" ht="12.75" customHeight="1" x14ac:dyDescent="0.25">
      <c r="G2192" s="19"/>
    </row>
    <row r="2193" spans="7:7" ht="12.75" customHeight="1" x14ac:dyDescent="0.25">
      <c r="G2193" s="19"/>
    </row>
    <row r="2194" spans="7:7" ht="12.75" customHeight="1" x14ac:dyDescent="0.25">
      <c r="G2194" s="19"/>
    </row>
    <row r="2195" spans="7:7" ht="12.75" customHeight="1" x14ac:dyDescent="0.25">
      <c r="G2195" s="19"/>
    </row>
    <row r="2196" spans="7:7" ht="12.75" customHeight="1" x14ac:dyDescent="0.25">
      <c r="G2196" s="19"/>
    </row>
    <row r="2197" spans="7:7" ht="12.75" customHeight="1" x14ac:dyDescent="0.25">
      <c r="G2197" s="19"/>
    </row>
    <row r="2198" spans="7:7" ht="12.75" customHeight="1" x14ac:dyDescent="0.25">
      <c r="G2198" s="19"/>
    </row>
    <row r="2199" spans="7:7" ht="12.75" customHeight="1" x14ac:dyDescent="0.25">
      <c r="G2199" s="19"/>
    </row>
    <row r="2200" spans="7:7" ht="12.75" customHeight="1" x14ac:dyDescent="0.25">
      <c r="G2200" s="19"/>
    </row>
    <row r="2201" spans="7:7" ht="12.75" customHeight="1" x14ac:dyDescent="0.25">
      <c r="G2201" s="19"/>
    </row>
    <row r="2202" spans="7:7" ht="12.75" customHeight="1" x14ac:dyDescent="0.25">
      <c r="G2202" s="19"/>
    </row>
    <row r="2203" spans="7:7" ht="12.75" customHeight="1" x14ac:dyDescent="0.25">
      <c r="G2203" s="19"/>
    </row>
    <row r="2204" spans="7:7" ht="12.75" customHeight="1" x14ac:dyDescent="0.25">
      <c r="G2204" s="19"/>
    </row>
    <row r="2205" spans="7:7" ht="12.75" customHeight="1" x14ac:dyDescent="0.25">
      <c r="G2205" s="19"/>
    </row>
    <row r="2206" spans="7:7" ht="12.75" customHeight="1" x14ac:dyDescent="0.25">
      <c r="G2206" s="19"/>
    </row>
    <row r="2207" spans="7:7" ht="12.75" customHeight="1" x14ac:dyDescent="0.25">
      <c r="G2207" s="19"/>
    </row>
    <row r="2208" spans="7:7" ht="12.75" customHeight="1" x14ac:dyDescent="0.25">
      <c r="G2208" s="19"/>
    </row>
    <row r="2209" spans="7:7" ht="12.75" customHeight="1" x14ac:dyDescent="0.25">
      <c r="G2209" s="19"/>
    </row>
    <row r="2210" spans="7:7" ht="12.75" customHeight="1" x14ac:dyDescent="0.25">
      <c r="G2210" s="19"/>
    </row>
    <row r="2211" spans="7:7" ht="12.75" customHeight="1" x14ac:dyDescent="0.25">
      <c r="G2211" s="19"/>
    </row>
    <row r="2212" spans="7:7" ht="12.75" customHeight="1" x14ac:dyDescent="0.25">
      <c r="G2212" s="19"/>
    </row>
    <row r="2213" spans="7:7" ht="12.75" customHeight="1" x14ac:dyDescent="0.25">
      <c r="G2213" s="19"/>
    </row>
    <row r="2214" spans="7:7" ht="12.75" customHeight="1" x14ac:dyDescent="0.25">
      <c r="G2214" s="19"/>
    </row>
    <row r="2215" spans="7:7" ht="12.75" customHeight="1" x14ac:dyDescent="0.25">
      <c r="G2215" s="19"/>
    </row>
    <row r="2216" spans="7:7" ht="12.75" customHeight="1" x14ac:dyDescent="0.25">
      <c r="G2216" s="19"/>
    </row>
    <row r="2217" spans="7:7" ht="12.75" customHeight="1" x14ac:dyDescent="0.25">
      <c r="G2217" s="19"/>
    </row>
    <row r="2218" spans="7:7" ht="12.75" customHeight="1" x14ac:dyDescent="0.25">
      <c r="G2218" s="19"/>
    </row>
    <row r="2219" spans="7:7" ht="12.75" customHeight="1" x14ac:dyDescent="0.25">
      <c r="G2219" s="19"/>
    </row>
    <row r="2220" spans="7:7" ht="12.75" customHeight="1" x14ac:dyDescent="0.25">
      <c r="G2220" s="19"/>
    </row>
    <row r="2221" spans="7:7" ht="12.75" customHeight="1" x14ac:dyDescent="0.25">
      <c r="G2221" s="19"/>
    </row>
    <row r="2222" spans="7:7" ht="12.75" customHeight="1" x14ac:dyDescent="0.25">
      <c r="G2222" s="19"/>
    </row>
    <row r="2223" spans="7:7" ht="12.75" customHeight="1" x14ac:dyDescent="0.25">
      <c r="G2223" s="19"/>
    </row>
    <row r="2224" spans="7:7" ht="12.75" customHeight="1" x14ac:dyDescent="0.25">
      <c r="G2224" s="19"/>
    </row>
    <row r="2225" spans="7:7" ht="12.75" customHeight="1" x14ac:dyDescent="0.25">
      <c r="G2225" s="19"/>
    </row>
    <row r="2226" spans="7:7" ht="12.75" customHeight="1" x14ac:dyDescent="0.25">
      <c r="G2226" s="19"/>
    </row>
    <row r="2227" spans="7:7" ht="12.75" customHeight="1" x14ac:dyDescent="0.25">
      <c r="G2227" s="19"/>
    </row>
    <row r="2228" spans="7:7" ht="12.75" customHeight="1" x14ac:dyDescent="0.25">
      <c r="G2228" s="19"/>
    </row>
    <row r="2229" spans="7:7" ht="12.75" customHeight="1" x14ac:dyDescent="0.25">
      <c r="G2229" s="19"/>
    </row>
    <row r="2230" spans="7:7" ht="12.75" customHeight="1" x14ac:dyDescent="0.25">
      <c r="G2230" s="19"/>
    </row>
    <row r="2231" spans="7:7" ht="12.75" customHeight="1" x14ac:dyDescent="0.25">
      <c r="G2231" s="19"/>
    </row>
    <row r="2232" spans="7:7" ht="12.75" customHeight="1" x14ac:dyDescent="0.25">
      <c r="G2232" s="19"/>
    </row>
    <row r="2233" spans="7:7" ht="12.75" customHeight="1" x14ac:dyDescent="0.25">
      <c r="G2233" s="19"/>
    </row>
    <row r="2234" spans="7:7" ht="12.75" customHeight="1" x14ac:dyDescent="0.25">
      <c r="G2234" s="19"/>
    </row>
    <row r="2235" spans="7:7" ht="12.75" customHeight="1" x14ac:dyDescent="0.25">
      <c r="G2235" s="19"/>
    </row>
    <row r="2236" spans="7:7" ht="12.75" customHeight="1" x14ac:dyDescent="0.25">
      <c r="G2236" s="19"/>
    </row>
    <row r="2237" spans="7:7" ht="12.75" customHeight="1" x14ac:dyDescent="0.25">
      <c r="G2237" s="19"/>
    </row>
    <row r="2238" spans="7:7" ht="12.75" customHeight="1" x14ac:dyDescent="0.25">
      <c r="G2238" s="19"/>
    </row>
    <row r="2239" spans="7:7" ht="12.75" customHeight="1" x14ac:dyDescent="0.25">
      <c r="G2239" s="19"/>
    </row>
    <row r="2240" spans="7:7" ht="12.75" customHeight="1" x14ac:dyDescent="0.25">
      <c r="G2240" s="19"/>
    </row>
    <row r="2241" spans="7:7" ht="12.75" customHeight="1" x14ac:dyDescent="0.25">
      <c r="G2241" s="19"/>
    </row>
    <row r="2242" spans="7:7" ht="12.75" customHeight="1" x14ac:dyDescent="0.25">
      <c r="G2242" s="19"/>
    </row>
    <row r="2243" spans="7:7" ht="12.75" customHeight="1" x14ac:dyDescent="0.25">
      <c r="G2243" s="19"/>
    </row>
    <row r="2244" spans="7:7" ht="12.75" customHeight="1" x14ac:dyDescent="0.25">
      <c r="G2244" s="19"/>
    </row>
    <row r="2245" spans="7:7" ht="12.75" customHeight="1" x14ac:dyDescent="0.25">
      <c r="G2245" s="19"/>
    </row>
    <row r="2246" spans="7:7" ht="12.75" customHeight="1" x14ac:dyDescent="0.25">
      <c r="G2246" s="19"/>
    </row>
    <row r="2247" spans="7:7" ht="12.75" customHeight="1" x14ac:dyDescent="0.25">
      <c r="G2247" s="19"/>
    </row>
    <row r="2248" spans="7:7" ht="12.75" customHeight="1" x14ac:dyDescent="0.25">
      <c r="G2248" s="19"/>
    </row>
    <row r="2249" spans="7:7" ht="12.75" customHeight="1" x14ac:dyDescent="0.25">
      <c r="G2249" s="19"/>
    </row>
    <row r="2250" spans="7:7" ht="12.75" customHeight="1" x14ac:dyDescent="0.25">
      <c r="G2250" s="19"/>
    </row>
    <row r="2251" spans="7:7" ht="12.75" customHeight="1" x14ac:dyDescent="0.25">
      <c r="G2251" s="19"/>
    </row>
    <row r="2252" spans="7:7" ht="12.75" customHeight="1" x14ac:dyDescent="0.25">
      <c r="G2252" s="19"/>
    </row>
    <row r="2253" spans="7:7" ht="12.75" customHeight="1" x14ac:dyDescent="0.25">
      <c r="G2253" s="19"/>
    </row>
    <row r="2254" spans="7:7" ht="12.75" customHeight="1" x14ac:dyDescent="0.25">
      <c r="G2254" s="19"/>
    </row>
    <row r="2255" spans="7:7" ht="12.75" customHeight="1" x14ac:dyDescent="0.25">
      <c r="G2255" s="19"/>
    </row>
    <row r="2256" spans="7:7" ht="12.75" customHeight="1" x14ac:dyDescent="0.25">
      <c r="G2256" s="19"/>
    </row>
    <row r="2257" spans="7:7" ht="12.75" customHeight="1" x14ac:dyDescent="0.25">
      <c r="G2257" s="19"/>
    </row>
    <row r="2258" spans="7:7" ht="12.75" customHeight="1" x14ac:dyDescent="0.25">
      <c r="G2258" s="19"/>
    </row>
    <row r="2259" spans="7:7" ht="12.75" customHeight="1" x14ac:dyDescent="0.25">
      <c r="G2259" s="19"/>
    </row>
    <row r="2260" spans="7:7" ht="12.75" customHeight="1" x14ac:dyDescent="0.25">
      <c r="G2260" s="19"/>
    </row>
    <row r="2261" spans="7:7" ht="12.75" customHeight="1" x14ac:dyDescent="0.25">
      <c r="G2261" s="19"/>
    </row>
    <row r="2262" spans="7:7" ht="12.75" customHeight="1" x14ac:dyDescent="0.25">
      <c r="G2262" s="19"/>
    </row>
    <row r="2263" spans="7:7" ht="12.75" customHeight="1" x14ac:dyDescent="0.25">
      <c r="G2263" s="19"/>
    </row>
    <row r="2264" spans="7:7" ht="12.75" customHeight="1" x14ac:dyDescent="0.25">
      <c r="G2264" s="19"/>
    </row>
    <row r="2265" spans="7:7" ht="12.75" customHeight="1" x14ac:dyDescent="0.25">
      <c r="G2265" s="19"/>
    </row>
    <row r="2266" spans="7:7" ht="12.75" customHeight="1" x14ac:dyDescent="0.25">
      <c r="G2266" s="19"/>
    </row>
    <row r="2267" spans="7:7" ht="12.75" customHeight="1" x14ac:dyDescent="0.25">
      <c r="G2267" s="19"/>
    </row>
    <row r="2268" spans="7:7" ht="12.75" customHeight="1" x14ac:dyDescent="0.25">
      <c r="G2268" s="19"/>
    </row>
    <row r="2269" spans="7:7" ht="12.75" customHeight="1" x14ac:dyDescent="0.25">
      <c r="G2269" s="19"/>
    </row>
    <row r="2270" spans="7:7" ht="12.75" customHeight="1" x14ac:dyDescent="0.25">
      <c r="G2270" s="19"/>
    </row>
    <row r="2271" spans="7:7" ht="12.75" customHeight="1" x14ac:dyDescent="0.25">
      <c r="G2271" s="19"/>
    </row>
    <row r="2272" spans="7:7" ht="12.75" customHeight="1" x14ac:dyDescent="0.25">
      <c r="G2272" s="19"/>
    </row>
    <row r="2273" spans="7:7" ht="12.75" customHeight="1" x14ac:dyDescent="0.25">
      <c r="G2273" s="19"/>
    </row>
    <row r="2274" spans="7:7" ht="12.75" customHeight="1" x14ac:dyDescent="0.25">
      <c r="G2274" s="19"/>
    </row>
    <row r="2275" spans="7:7" ht="12.75" customHeight="1" x14ac:dyDescent="0.25">
      <c r="G2275" s="19"/>
    </row>
    <row r="2276" spans="7:7" ht="12.75" customHeight="1" x14ac:dyDescent="0.25">
      <c r="G2276" s="19"/>
    </row>
    <row r="2277" spans="7:7" ht="12.75" customHeight="1" x14ac:dyDescent="0.25">
      <c r="G2277" s="19"/>
    </row>
    <row r="2278" spans="7:7" ht="12.75" customHeight="1" x14ac:dyDescent="0.25">
      <c r="G2278" s="19"/>
    </row>
    <row r="2279" spans="7:7" ht="12.75" customHeight="1" x14ac:dyDescent="0.25">
      <c r="G2279" s="19"/>
    </row>
    <row r="2280" spans="7:7" ht="12.75" customHeight="1" x14ac:dyDescent="0.25">
      <c r="G2280" s="19"/>
    </row>
    <row r="2281" spans="7:7" ht="12.75" customHeight="1" x14ac:dyDescent="0.25">
      <c r="G2281" s="19"/>
    </row>
    <row r="2282" spans="7:7" ht="12.75" customHeight="1" x14ac:dyDescent="0.25">
      <c r="G2282" s="19"/>
    </row>
    <row r="2283" spans="7:7" ht="12.75" customHeight="1" x14ac:dyDescent="0.25">
      <c r="G2283" s="19"/>
    </row>
    <row r="2284" spans="7:7" ht="12.75" customHeight="1" x14ac:dyDescent="0.25">
      <c r="G2284" s="19"/>
    </row>
    <row r="2285" spans="7:7" ht="12.75" customHeight="1" x14ac:dyDescent="0.25">
      <c r="G2285" s="19"/>
    </row>
    <row r="2286" spans="7:7" ht="12.75" customHeight="1" x14ac:dyDescent="0.25">
      <c r="G2286" s="19"/>
    </row>
    <row r="2287" spans="7:7" ht="12.75" customHeight="1" x14ac:dyDescent="0.25">
      <c r="G2287" s="19"/>
    </row>
    <row r="2288" spans="7:7" ht="12.75" customHeight="1" x14ac:dyDescent="0.25">
      <c r="G2288" s="19"/>
    </row>
    <row r="2289" spans="7:7" ht="12.75" customHeight="1" x14ac:dyDescent="0.25">
      <c r="G2289" s="19"/>
    </row>
    <row r="2290" spans="7:7" ht="12.75" customHeight="1" x14ac:dyDescent="0.25">
      <c r="G2290" s="19"/>
    </row>
    <row r="2291" spans="7:7" ht="12.75" customHeight="1" x14ac:dyDescent="0.25">
      <c r="G2291" s="19"/>
    </row>
    <row r="2292" spans="7:7" ht="12.75" customHeight="1" x14ac:dyDescent="0.25">
      <c r="G2292" s="19"/>
    </row>
    <row r="2293" spans="7:7" ht="12.75" customHeight="1" x14ac:dyDescent="0.25">
      <c r="G2293" s="19"/>
    </row>
    <row r="2294" spans="7:7" ht="12.75" customHeight="1" x14ac:dyDescent="0.25">
      <c r="G2294" s="19"/>
    </row>
    <row r="2295" spans="7:7" ht="12.75" customHeight="1" x14ac:dyDescent="0.25">
      <c r="G2295" s="19"/>
    </row>
    <row r="2296" spans="7:7" ht="12.75" customHeight="1" x14ac:dyDescent="0.25">
      <c r="G2296" s="19"/>
    </row>
    <row r="2297" spans="7:7" ht="12.75" customHeight="1" x14ac:dyDescent="0.25">
      <c r="G2297" s="19"/>
    </row>
    <row r="2298" spans="7:7" ht="12.75" customHeight="1" x14ac:dyDescent="0.25">
      <c r="G2298" s="19"/>
    </row>
    <row r="2299" spans="7:7" ht="12.75" customHeight="1" x14ac:dyDescent="0.25">
      <c r="G2299" s="19"/>
    </row>
    <row r="2300" spans="7:7" ht="12.75" customHeight="1" x14ac:dyDescent="0.25">
      <c r="G2300" s="19"/>
    </row>
    <row r="2301" spans="7:7" ht="12.75" customHeight="1" x14ac:dyDescent="0.25">
      <c r="G2301" s="19"/>
    </row>
    <row r="2302" spans="7:7" ht="12.75" customHeight="1" x14ac:dyDescent="0.25">
      <c r="G2302" s="19"/>
    </row>
    <row r="2303" spans="7:7" ht="12.75" customHeight="1" x14ac:dyDescent="0.25">
      <c r="G2303" s="19"/>
    </row>
    <row r="2304" spans="7:7" ht="12.75" customHeight="1" x14ac:dyDescent="0.25">
      <c r="G2304" s="19"/>
    </row>
    <row r="2305" spans="7:7" ht="12.75" customHeight="1" x14ac:dyDescent="0.25">
      <c r="G2305" s="19"/>
    </row>
    <row r="2306" spans="7:7" ht="12.75" customHeight="1" x14ac:dyDescent="0.25">
      <c r="G2306" s="19"/>
    </row>
    <row r="2307" spans="7:7" ht="12.75" customHeight="1" x14ac:dyDescent="0.25">
      <c r="G2307" s="19"/>
    </row>
    <row r="2308" spans="7:7" ht="12.75" customHeight="1" x14ac:dyDescent="0.25">
      <c r="G2308" s="19"/>
    </row>
    <row r="2309" spans="7:7" ht="12.75" customHeight="1" x14ac:dyDescent="0.25">
      <c r="G2309" s="19"/>
    </row>
    <row r="2310" spans="7:7" ht="12.75" customHeight="1" x14ac:dyDescent="0.25">
      <c r="G2310" s="19"/>
    </row>
    <row r="2311" spans="7:7" ht="12.75" customHeight="1" x14ac:dyDescent="0.25">
      <c r="G2311" s="19"/>
    </row>
    <row r="2312" spans="7:7" ht="12.75" customHeight="1" x14ac:dyDescent="0.25">
      <c r="G2312" s="19"/>
    </row>
    <row r="2313" spans="7:7" ht="12.75" customHeight="1" x14ac:dyDescent="0.25">
      <c r="G2313" s="19"/>
    </row>
    <row r="2314" spans="7:7" ht="12.75" customHeight="1" x14ac:dyDescent="0.25">
      <c r="G2314" s="19"/>
    </row>
    <row r="2315" spans="7:7" ht="12.75" customHeight="1" x14ac:dyDescent="0.25">
      <c r="G2315" s="19"/>
    </row>
    <row r="2316" spans="7:7" ht="12.75" customHeight="1" x14ac:dyDescent="0.25">
      <c r="G2316" s="19"/>
    </row>
    <row r="2317" spans="7:7" ht="12.75" customHeight="1" x14ac:dyDescent="0.25">
      <c r="G2317" s="19"/>
    </row>
    <row r="2318" spans="7:7" ht="12.75" customHeight="1" x14ac:dyDescent="0.25">
      <c r="G2318" s="19"/>
    </row>
    <row r="2319" spans="7:7" ht="12.75" customHeight="1" x14ac:dyDescent="0.25">
      <c r="G2319" s="19"/>
    </row>
    <row r="2320" spans="7:7" ht="12.75" customHeight="1" x14ac:dyDescent="0.25">
      <c r="G2320" s="19"/>
    </row>
    <row r="2321" spans="7:7" ht="12.75" customHeight="1" x14ac:dyDescent="0.25">
      <c r="G2321" s="19"/>
    </row>
    <row r="2322" spans="7:7" ht="12.75" customHeight="1" x14ac:dyDescent="0.25">
      <c r="G2322" s="19"/>
    </row>
    <row r="2323" spans="7:7" ht="12.75" customHeight="1" x14ac:dyDescent="0.25">
      <c r="G2323" s="19"/>
    </row>
    <row r="2324" spans="7:7" ht="12.75" customHeight="1" x14ac:dyDescent="0.25">
      <c r="G2324" s="19"/>
    </row>
    <row r="2325" spans="7:7" ht="12.75" customHeight="1" x14ac:dyDescent="0.25">
      <c r="G2325" s="19"/>
    </row>
    <row r="2326" spans="7:7" ht="12.75" customHeight="1" x14ac:dyDescent="0.25">
      <c r="G2326" s="19"/>
    </row>
    <row r="2327" spans="7:7" ht="12.75" customHeight="1" x14ac:dyDescent="0.25">
      <c r="G2327" s="19"/>
    </row>
    <row r="2328" spans="7:7" ht="12.75" customHeight="1" x14ac:dyDescent="0.25">
      <c r="G2328" s="19"/>
    </row>
    <row r="2329" spans="7:7" ht="12.75" customHeight="1" x14ac:dyDescent="0.25">
      <c r="G2329" s="19"/>
    </row>
    <row r="2330" spans="7:7" ht="12.75" customHeight="1" x14ac:dyDescent="0.25">
      <c r="G2330" s="19"/>
    </row>
    <row r="2331" spans="7:7" ht="12.75" customHeight="1" x14ac:dyDescent="0.25">
      <c r="G2331" s="19"/>
    </row>
    <row r="2332" spans="7:7" ht="12.75" customHeight="1" x14ac:dyDescent="0.25">
      <c r="G2332" s="19"/>
    </row>
    <row r="2333" spans="7:7" ht="12.75" customHeight="1" x14ac:dyDescent="0.25">
      <c r="G2333" s="19"/>
    </row>
    <row r="2334" spans="7:7" ht="12.75" customHeight="1" x14ac:dyDescent="0.25">
      <c r="G2334" s="19"/>
    </row>
    <row r="2335" spans="7:7" ht="12.75" customHeight="1" x14ac:dyDescent="0.25">
      <c r="G2335" s="19"/>
    </row>
    <row r="2336" spans="7:7" ht="12.75" customHeight="1" x14ac:dyDescent="0.25">
      <c r="G2336" s="19"/>
    </row>
    <row r="2337" spans="7:7" ht="12.75" customHeight="1" x14ac:dyDescent="0.25">
      <c r="G2337" s="19"/>
    </row>
    <row r="2338" spans="7:7" ht="12.75" customHeight="1" x14ac:dyDescent="0.25">
      <c r="G2338" s="19"/>
    </row>
    <row r="2339" spans="7:7" ht="12.75" customHeight="1" x14ac:dyDescent="0.25">
      <c r="G2339" s="19"/>
    </row>
    <row r="2340" spans="7:7" ht="12.75" customHeight="1" x14ac:dyDescent="0.25">
      <c r="G2340" s="19"/>
    </row>
    <row r="2341" spans="7:7" ht="12.75" customHeight="1" x14ac:dyDescent="0.25">
      <c r="G2341" s="19"/>
    </row>
    <row r="2342" spans="7:7" ht="12.75" customHeight="1" x14ac:dyDescent="0.25">
      <c r="G2342" s="19"/>
    </row>
    <row r="2343" spans="7:7" ht="12.75" customHeight="1" x14ac:dyDescent="0.25">
      <c r="G2343" s="19"/>
    </row>
    <row r="2344" spans="7:7" ht="12.75" customHeight="1" x14ac:dyDescent="0.25">
      <c r="G2344" s="19"/>
    </row>
    <row r="2345" spans="7:7" ht="12.75" customHeight="1" x14ac:dyDescent="0.25">
      <c r="G2345" s="19"/>
    </row>
    <row r="2346" spans="7:7" ht="12.75" customHeight="1" x14ac:dyDescent="0.25">
      <c r="G2346" s="19"/>
    </row>
    <row r="2347" spans="7:7" ht="12.75" customHeight="1" x14ac:dyDescent="0.25">
      <c r="G2347" s="19"/>
    </row>
    <row r="2348" spans="7:7" ht="12.75" customHeight="1" x14ac:dyDescent="0.25">
      <c r="G2348" s="19"/>
    </row>
    <row r="2349" spans="7:7" ht="12.75" customHeight="1" x14ac:dyDescent="0.25">
      <c r="G2349" s="19"/>
    </row>
    <row r="2350" spans="7:7" ht="12.75" customHeight="1" x14ac:dyDescent="0.25">
      <c r="G2350" s="19"/>
    </row>
    <row r="2351" spans="7:7" ht="12.75" customHeight="1" x14ac:dyDescent="0.25">
      <c r="G2351" s="19"/>
    </row>
    <row r="2352" spans="7:7" ht="12.75" customHeight="1" x14ac:dyDescent="0.25">
      <c r="G2352" s="19"/>
    </row>
    <row r="2353" spans="7:7" ht="12.75" customHeight="1" x14ac:dyDescent="0.25">
      <c r="G2353" s="19"/>
    </row>
    <row r="2354" spans="7:7" ht="12.75" customHeight="1" x14ac:dyDescent="0.25">
      <c r="G2354" s="19"/>
    </row>
    <row r="2355" spans="7:7" ht="12.75" customHeight="1" x14ac:dyDescent="0.25">
      <c r="G2355" s="19"/>
    </row>
    <row r="2356" spans="7:7" ht="12.75" customHeight="1" x14ac:dyDescent="0.25">
      <c r="G2356" s="19"/>
    </row>
    <row r="2357" spans="7:7" ht="12.75" customHeight="1" x14ac:dyDescent="0.25">
      <c r="G2357" s="19"/>
    </row>
    <row r="2358" spans="7:7" ht="12.75" customHeight="1" x14ac:dyDescent="0.25">
      <c r="G2358" s="19"/>
    </row>
    <row r="2359" spans="7:7" ht="12.75" customHeight="1" x14ac:dyDescent="0.25">
      <c r="G2359" s="19"/>
    </row>
    <row r="2360" spans="7:7" ht="12.75" customHeight="1" x14ac:dyDescent="0.25">
      <c r="G2360" s="19"/>
    </row>
    <row r="2361" spans="7:7" ht="12.75" customHeight="1" x14ac:dyDescent="0.25">
      <c r="G2361" s="19"/>
    </row>
    <row r="2362" spans="7:7" ht="12.75" customHeight="1" x14ac:dyDescent="0.25">
      <c r="G2362" s="19"/>
    </row>
    <row r="2363" spans="7:7" ht="12.75" customHeight="1" x14ac:dyDescent="0.25">
      <c r="G2363" s="19"/>
    </row>
    <row r="2364" spans="7:7" ht="12.75" customHeight="1" x14ac:dyDescent="0.25">
      <c r="G2364" s="19"/>
    </row>
    <row r="2365" spans="7:7" ht="12.75" customHeight="1" x14ac:dyDescent="0.25">
      <c r="G2365" s="19"/>
    </row>
    <row r="2366" spans="7:7" ht="12.75" customHeight="1" x14ac:dyDescent="0.25">
      <c r="G2366" s="19"/>
    </row>
    <row r="2367" spans="7:7" ht="12.75" customHeight="1" x14ac:dyDescent="0.25">
      <c r="G2367" s="19"/>
    </row>
    <row r="2368" spans="7:7" ht="12.75" customHeight="1" x14ac:dyDescent="0.25">
      <c r="G2368" s="19"/>
    </row>
    <row r="2369" spans="7:7" ht="12.75" customHeight="1" x14ac:dyDescent="0.25">
      <c r="G2369" s="19"/>
    </row>
    <row r="2370" spans="7:7" ht="12.75" customHeight="1" x14ac:dyDescent="0.25">
      <c r="G2370" s="19"/>
    </row>
    <row r="2371" spans="7:7" ht="12.75" customHeight="1" x14ac:dyDescent="0.25">
      <c r="G2371" s="19"/>
    </row>
    <row r="2372" spans="7:7" ht="12.75" customHeight="1" x14ac:dyDescent="0.25">
      <c r="G2372" s="19"/>
    </row>
    <row r="2373" spans="7:7" ht="12.75" customHeight="1" x14ac:dyDescent="0.25">
      <c r="G2373" s="19"/>
    </row>
    <row r="2374" spans="7:7" ht="12.75" customHeight="1" x14ac:dyDescent="0.25">
      <c r="G2374" s="19"/>
    </row>
    <row r="2375" spans="7:7" ht="12.75" customHeight="1" x14ac:dyDescent="0.25">
      <c r="G2375" s="19"/>
    </row>
    <row r="2376" spans="7:7" ht="12.75" customHeight="1" x14ac:dyDescent="0.25">
      <c r="G2376" s="19"/>
    </row>
    <row r="2377" spans="7:7" ht="12.75" customHeight="1" x14ac:dyDescent="0.25">
      <c r="G2377" s="19"/>
    </row>
    <row r="2378" spans="7:7" ht="12.75" customHeight="1" x14ac:dyDescent="0.25">
      <c r="G2378" s="19"/>
    </row>
    <row r="2379" spans="7:7" ht="12.75" customHeight="1" x14ac:dyDescent="0.25">
      <c r="G2379" s="19"/>
    </row>
    <row r="2380" spans="7:7" ht="12.75" customHeight="1" x14ac:dyDescent="0.25">
      <c r="G2380" s="19"/>
    </row>
    <row r="2381" spans="7:7" ht="12.75" customHeight="1" x14ac:dyDescent="0.25">
      <c r="G2381" s="19"/>
    </row>
    <row r="2382" spans="7:7" ht="12.75" customHeight="1" x14ac:dyDescent="0.25">
      <c r="G2382" s="19"/>
    </row>
    <row r="2383" spans="7:7" ht="12.75" customHeight="1" x14ac:dyDescent="0.25">
      <c r="G2383" s="19"/>
    </row>
    <row r="2384" spans="7:7" ht="12.75" customHeight="1" x14ac:dyDescent="0.25">
      <c r="G2384" s="19"/>
    </row>
    <row r="2385" spans="7:7" ht="12.75" customHeight="1" x14ac:dyDescent="0.25">
      <c r="G2385" s="19"/>
    </row>
    <row r="2386" spans="7:7" ht="12.75" customHeight="1" x14ac:dyDescent="0.25">
      <c r="G2386" s="19"/>
    </row>
    <row r="2387" spans="7:7" ht="12.75" customHeight="1" x14ac:dyDescent="0.25">
      <c r="G2387" s="19"/>
    </row>
    <row r="2388" spans="7:7" ht="12.75" customHeight="1" x14ac:dyDescent="0.25">
      <c r="G2388" s="19"/>
    </row>
    <row r="2389" spans="7:7" ht="12.75" customHeight="1" x14ac:dyDescent="0.25">
      <c r="G2389" s="19"/>
    </row>
    <row r="2390" spans="7:7" ht="12.75" customHeight="1" x14ac:dyDescent="0.25">
      <c r="G2390" s="19"/>
    </row>
    <row r="2391" spans="7:7" ht="12.75" customHeight="1" x14ac:dyDescent="0.25">
      <c r="G2391" s="19"/>
    </row>
    <row r="2392" spans="7:7" ht="12.75" customHeight="1" x14ac:dyDescent="0.25">
      <c r="G2392" s="19"/>
    </row>
    <row r="2393" spans="7:7" ht="12.75" customHeight="1" x14ac:dyDescent="0.25">
      <c r="G2393" s="19"/>
    </row>
    <row r="2394" spans="7:7" ht="12.75" customHeight="1" x14ac:dyDescent="0.25">
      <c r="G2394" s="19"/>
    </row>
    <row r="2395" spans="7:7" ht="12.75" customHeight="1" x14ac:dyDescent="0.25">
      <c r="G2395" s="19"/>
    </row>
    <row r="2396" spans="7:7" ht="12.75" customHeight="1" x14ac:dyDescent="0.25">
      <c r="G2396" s="19"/>
    </row>
    <row r="2397" spans="7:7" ht="12.75" customHeight="1" x14ac:dyDescent="0.25">
      <c r="G2397" s="19"/>
    </row>
    <row r="2398" spans="7:7" ht="12.75" customHeight="1" x14ac:dyDescent="0.25">
      <c r="G2398" s="19"/>
    </row>
    <row r="2399" spans="7:7" ht="12.75" customHeight="1" x14ac:dyDescent="0.25">
      <c r="G2399" s="19"/>
    </row>
    <row r="2400" spans="7:7" ht="12.75" customHeight="1" x14ac:dyDescent="0.25">
      <c r="G2400" s="19"/>
    </row>
    <row r="2401" spans="7:7" ht="12.75" customHeight="1" x14ac:dyDescent="0.25">
      <c r="G2401" s="19"/>
    </row>
    <row r="2402" spans="7:7" ht="12.75" customHeight="1" x14ac:dyDescent="0.25">
      <c r="G2402" s="19"/>
    </row>
    <row r="2403" spans="7:7" ht="12.75" customHeight="1" x14ac:dyDescent="0.25">
      <c r="G2403" s="19"/>
    </row>
    <row r="2404" spans="7:7" ht="12.75" customHeight="1" x14ac:dyDescent="0.25">
      <c r="G2404" s="19"/>
    </row>
    <row r="2405" spans="7:7" ht="12.75" customHeight="1" x14ac:dyDescent="0.25">
      <c r="G2405" s="19"/>
    </row>
    <row r="2406" spans="7:7" ht="12.75" customHeight="1" x14ac:dyDescent="0.25">
      <c r="G2406" s="19"/>
    </row>
    <row r="2407" spans="7:7" ht="12.75" customHeight="1" x14ac:dyDescent="0.25">
      <c r="G2407" s="19"/>
    </row>
    <row r="2408" spans="7:7" ht="12.75" customHeight="1" x14ac:dyDescent="0.25">
      <c r="G2408" s="19"/>
    </row>
    <row r="2409" spans="7:7" ht="12.75" customHeight="1" x14ac:dyDescent="0.25">
      <c r="G2409" s="19"/>
    </row>
    <row r="2410" spans="7:7" ht="12.75" customHeight="1" x14ac:dyDescent="0.25">
      <c r="G2410" s="19"/>
    </row>
    <row r="2411" spans="7:7" ht="12.75" customHeight="1" x14ac:dyDescent="0.25">
      <c r="G2411" s="19"/>
    </row>
    <row r="2412" spans="7:7" ht="12.75" customHeight="1" x14ac:dyDescent="0.25">
      <c r="G2412" s="19"/>
    </row>
    <row r="2413" spans="7:7" ht="12.75" customHeight="1" x14ac:dyDescent="0.25">
      <c r="G2413" s="19"/>
    </row>
    <row r="2414" spans="7:7" ht="12.75" customHeight="1" x14ac:dyDescent="0.25">
      <c r="G2414" s="19"/>
    </row>
    <row r="2415" spans="7:7" ht="12.75" customHeight="1" x14ac:dyDescent="0.25">
      <c r="G2415" s="19"/>
    </row>
    <row r="2416" spans="7:7" ht="12.75" customHeight="1" x14ac:dyDescent="0.25">
      <c r="G2416" s="19"/>
    </row>
    <row r="2417" spans="7:7" ht="12.75" customHeight="1" x14ac:dyDescent="0.25">
      <c r="G2417" s="19"/>
    </row>
    <row r="2418" spans="7:7" ht="12.75" customHeight="1" x14ac:dyDescent="0.25">
      <c r="G2418" s="19"/>
    </row>
    <row r="2419" spans="7:7" ht="12.75" customHeight="1" x14ac:dyDescent="0.25">
      <c r="G2419" s="19"/>
    </row>
    <row r="2420" spans="7:7" ht="12.75" customHeight="1" x14ac:dyDescent="0.25">
      <c r="G2420" s="19"/>
    </row>
    <row r="2421" spans="7:7" ht="12.75" customHeight="1" x14ac:dyDescent="0.25">
      <c r="G2421" s="19"/>
    </row>
    <row r="2422" spans="7:7" ht="12.75" customHeight="1" x14ac:dyDescent="0.25">
      <c r="G2422" s="19"/>
    </row>
    <row r="2423" spans="7:7" ht="12.75" customHeight="1" x14ac:dyDescent="0.25">
      <c r="G2423" s="19"/>
    </row>
    <row r="2424" spans="7:7" ht="12.75" customHeight="1" x14ac:dyDescent="0.25">
      <c r="G2424" s="19"/>
    </row>
    <row r="2425" spans="7:7" ht="12.75" customHeight="1" x14ac:dyDescent="0.25">
      <c r="G2425" s="19"/>
    </row>
    <row r="2426" spans="7:7" ht="12.75" customHeight="1" x14ac:dyDescent="0.25">
      <c r="G2426" s="19"/>
    </row>
    <row r="2427" spans="7:7" ht="12.75" customHeight="1" x14ac:dyDescent="0.25">
      <c r="G2427" s="19"/>
    </row>
    <row r="2428" spans="7:7" ht="12.75" customHeight="1" x14ac:dyDescent="0.25">
      <c r="G2428" s="19"/>
    </row>
    <row r="2429" spans="7:7" ht="12.75" customHeight="1" x14ac:dyDescent="0.25">
      <c r="G2429" s="19"/>
    </row>
    <row r="2430" spans="7:7" ht="12.75" customHeight="1" x14ac:dyDescent="0.25">
      <c r="G2430" s="19"/>
    </row>
    <row r="2431" spans="7:7" ht="12.75" customHeight="1" x14ac:dyDescent="0.25">
      <c r="G2431" s="19"/>
    </row>
    <row r="2432" spans="7:7" ht="12.75" customHeight="1" x14ac:dyDescent="0.25">
      <c r="G2432" s="19"/>
    </row>
    <row r="2433" spans="7:7" ht="12.75" customHeight="1" x14ac:dyDescent="0.25">
      <c r="G2433" s="19"/>
    </row>
    <row r="2434" spans="7:7" ht="12.75" customHeight="1" x14ac:dyDescent="0.25">
      <c r="G2434" s="19"/>
    </row>
    <row r="2435" spans="7:7" ht="12.75" customHeight="1" x14ac:dyDescent="0.25">
      <c r="G2435" s="19"/>
    </row>
    <row r="2436" spans="7:7" ht="12.75" customHeight="1" x14ac:dyDescent="0.25">
      <c r="G2436" s="19"/>
    </row>
    <row r="2437" spans="7:7" ht="12.75" customHeight="1" x14ac:dyDescent="0.25">
      <c r="G2437" s="19"/>
    </row>
    <row r="2438" spans="7:7" ht="12.75" customHeight="1" x14ac:dyDescent="0.25">
      <c r="G2438" s="19"/>
    </row>
    <row r="2439" spans="7:7" ht="12.75" customHeight="1" x14ac:dyDescent="0.25">
      <c r="G2439" s="19"/>
    </row>
    <row r="2440" spans="7:7" ht="12.75" customHeight="1" x14ac:dyDescent="0.25">
      <c r="G2440" s="19"/>
    </row>
    <row r="2441" spans="7:7" ht="12.75" customHeight="1" x14ac:dyDescent="0.25">
      <c r="G2441" s="19"/>
    </row>
    <row r="2442" spans="7:7" ht="12.75" customHeight="1" x14ac:dyDescent="0.25">
      <c r="G2442" s="19"/>
    </row>
    <row r="2443" spans="7:7" ht="12.75" customHeight="1" x14ac:dyDescent="0.25">
      <c r="G2443" s="19"/>
    </row>
    <row r="2444" spans="7:7" ht="12.75" customHeight="1" x14ac:dyDescent="0.25">
      <c r="G2444" s="19"/>
    </row>
    <row r="2445" spans="7:7" ht="12.75" customHeight="1" x14ac:dyDescent="0.25">
      <c r="G2445" s="19"/>
    </row>
    <row r="2446" spans="7:7" ht="12.75" customHeight="1" x14ac:dyDescent="0.25">
      <c r="G2446" s="19"/>
    </row>
    <row r="2447" spans="7:7" ht="12.75" customHeight="1" x14ac:dyDescent="0.25">
      <c r="G2447" s="19"/>
    </row>
    <row r="2448" spans="7:7" ht="12.75" customHeight="1" x14ac:dyDescent="0.25">
      <c r="G2448" s="19"/>
    </row>
    <row r="2449" spans="7:7" ht="12.75" customHeight="1" x14ac:dyDescent="0.25">
      <c r="G2449" s="19"/>
    </row>
    <row r="2450" spans="7:7" ht="12.75" customHeight="1" x14ac:dyDescent="0.25">
      <c r="G2450" s="19"/>
    </row>
    <row r="2451" spans="7:7" ht="12.75" customHeight="1" x14ac:dyDescent="0.25">
      <c r="G2451" s="19"/>
    </row>
    <row r="2452" spans="7:7" ht="12.75" customHeight="1" x14ac:dyDescent="0.25">
      <c r="G2452" s="19"/>
    </row>
    <row r="2453" spans="7:7" ht="12.75" customHeight="1" x14ac:dyDescent="0.25">
      <c r="G2453" s="19"/>
    </row>
    <row r="2454" spans="7:7" ht="12.75" customHeight="1" x14ac:dyDescent="0.25">
      <c r="G2454" s="19"/>
    </row>
    <row r="2455" spans="7:7" ht="12.75" customHeight="1" x14ac:dyDescent="0.25">
      <c r="G2455" s="19"/>
    </row>
    <row r="2456" spans="7:7" ht="12.75" customHeight="1" x14ac:dyDescent="0.25">
      <c r="G2456" s="19"/>
    </row>
    <row r="2457" spans="7:7" ht="12.75" customHeight="1" x14ac:dyDescent="0.25">
      <c r="G2457" s="19"/>
    </row>
    <row r="2458" spans="7:7" ht="12.75" customHeight="1" x14ac:dyDescent="0.25">
      <c r="G2458" s="19"/>
    </row>
    <row r="2459" spans="7:7" ht="12.75" customHeight="1" x14ac:dyDescent="0.25">
      <c r="G2459" s="19"/>
    </row>
    <row r="2460" spans="7:7" ht="12.75" customHeight="1" x14ac:dyDescent="0.25">
      <c r="G2460" s="19"/>
    </row>
    <row r="2461" spans="7:7" ht="12.75" customHeight="1" x14ac:dyDescent="0.25">
      <c r="G2461" s="19"/>
    </row>
    <row r="2462" spans="7:7" ht="12.75" customHeight="1" x14ac:dyDescent="0.25">
      <c r="G2462" s="19"/>
    </row>
    <row r="2463" spans="7:7" ht="12.75" customHeight="1" x14ac:dyDescent="0.25">
      <c r="G2463" s="19"/>
    </row>
    <row r="2464" spans="7:7" ht="12.75" customHeight="1" x14ac:dyDescent="0.25">
      <c r="G2464" s="19"/>
    </row>
    <row r="2465" spans="7:7" ht="12.75" customHeight="1" x14ac:dyDescent="0.25">
      <c r="G2465" s="19"/>
    </row>
    <row r="2466" spans="7:7" ht="12.75" customHeight="1" x14ac:dyDescent="0.25">
      <c r="G2466" s="19"/>
    </row>
    <row r="2467" spans="7:7" ht="12.75" customHeight="1" x14ac:dyDescent="0.25">
      <c r="G2467" s="19"/>
    </row>
    <row r="2468" spans="7:7" ht="12.75" customHeight="1" x14ac:dyDescent="0.25">
      <c r="G2468" s="19"/>
    </row>
    <row r="2469" spans="7:7" ht="12.75" customHeight="1" x14ac:dyDescent="0.25">
      <c r="G2469" s="19"/>
    </row>
    <row r="2470" spans="7:7" ht="12.75" customHeight="1" x14ac:dyDescent="0.25">
      <c r="G2470" s="19"/>
    </row>
    <row r="2471" spans="7:7" ht="12.75" customHeight="1" x14ac:dyDescent="0.25">
      <c r="G2471" s="19"/>
    </row>
    <row r="2472" spans="7:7" ht="12.75" customHeight="1" x14ac:dyDescent="0.25">
      <c r="G2472" s="19"/>
    </row>
    <row r="2473" spans="7:7" ht="12.75" customHeight="1" x14ac:dyDescent="0.25">
      <c r="G2473" s="19"/>
    </row>
    <row r="2474" spans="7:7" ht="12.75" customHeight="1" x14ac:dyDescent="0.25">
      <c r="G2474" s="19"/>
    </row>
    <row r="2475" spans="7:7" ht="12.75" customHeight="1" x14ac:dyDescent="0.25">
      <c r="G2475" s="19"/>
    </row>
    <row r="2476" spans="7:7" ht="12.75" customHeight="1" x14ac:dyDescent="0.25">
      <c r="G2476" s="19"/>
    </row>
    <row r="2477" spans="7:7" ht="12.75" customHeight="1" x14ac:dyDescent="0.25">
      <c r="G2477" s="19"/>
    </row>
    <row r="2478" spans="7:7" ht="12.75" customHeight="1" x14ac:dyDescent="0.25">
      <c r="G2478" s="19"/>
    </row>
    <row r="2479" spans="7:7" ht="12.75" customHeight="1" x14ac:dyDescent="0.25">
      <c r="G2479" s="19"/>
    </row>
    <row r="2480" spans="7:7" ht="12.75" customHeight="1" x14ac:dyDescent="0.25">
      <c r="G2480" s="19"/>
    </row>
    <row r="2481" spans="7:7" ht="12.75" customHeight="1" x14ac:dyDescent="0.25">
      <c r="G2481" s="19"/>
    </row>
    <row r="2482" spans="7:7" ht="12.75" customHeight="1" x14ac:dyDescent="0.25">
      <c r="G2482" s="19"/>
    </row>
    <row r="2483" spans="7:7" ht="12.75" customHeight="1" x14ac:dyDescent="0.25">
      <c r="G2483" s="19"/>
    </row>
    <row r="2484" spans="7:7" ht="12.75" customHeight="1" x14ac:dyDescent="0.25">
      <c r="G2484" s="19"/>
    </row>
    <row r="2485" spans="7:7" ht="12.75" customHeight="1" x14ac:dyDescent="0.25">
      <c r="G2485" s="19"/>
    </row>
    <row r="2486" spans="7:7" ht="12.75" customHeight="1" x14ac:dyDescent="0.25">
      <c r="G2486" s="19"/>
    </row>
    <row r="2487" spans="7:7" ht="12.75" customHeight="1" x14ac:dyDescent="0.25">
      <c r="G2487" s="19"/>
    </row>
    <row r="2488" spans="7:7" ht="12.75" customHeight="1" x14ac:dyDescent="0.25">
      <c r="G2488" s="19"/>
    </row>
    <row r="2489" spans="7:7" ht="12.75" customHeight="1" x14ac:dyDescent="0.25">
      <c r="G2489" s="19"/>
    </row>
    <row r="2490" spans="7:7" ht="12.75" customHeight="1" x14ac:dyDescent="0.25">
      <c r="G2490" s="19"/>
    </row>
    <row r="2491" spans="7:7" ht="12.75" customHeight="1" x14ac:dyDescent="0.25">
      <c r="G2491" s="19"/>
    </row>
    <row r="2492" spans="7:7" ht="12.75" customHeight="1" x14ac:dyDescent="0.25">
      <c r="G2492" s="19"/>
    </row>
    <row r="2493" spans="7:7" ht="12.75" customHeight="1" x14ac:dyDescent="0.25">
      <c r="G2493" s="19"/>
    </row>
    <row r="2494" spans="7:7" ht="12.75" customHeight="1" x14ac:dyDescent="0.25">
      <c r="G2494" s="19"/>
    </row>
    <row r="2495" spans="7:7" ht="12.75" customHeight="1" x14ac:dyDescent="0.25">
      <c r="G2495" s="19"/>
    </row>
    <row r="2496" spans="7:7" ht="12.75" customHeight="1" x14ac:dyDescent="0.25">
      <c r="G2496" s="19"/>
    </row>
    <row r="2497" spans="7:7" ht="12.75" customHeight="1" x14ac:dyDescent="0.25">
      <c r="G2497" s="19"/>
    </row>
    <row r="2498" spans="7:7" ht="12.75" customHeight="1" x14ac:dyDescent="0.25">
      <c r="G2498" s="19"/>
    </row>
    <row r="2499" spans="7:7" ht="12.75" customHeight="1" x14ac:dyDescent="0.25">
      <c r="G2499" s="19"/>
    </row>
    <row r="2500" spans="7:7" ht="12.75" customHeight="1" x14ac:dyDescent="0.25">
      <c r="G2500" s="19"/>
    </row>
    <row r="2501" spans="7:7" ht="12.75" customHeight="1" x14ac:dyDescent="0.25">
      <c r="G2501" s="19"/>
    </row>
    <row r="2502" spans="7:7" ht="12.75" customHeight="1" x14ac:dyDescent="0.25">
      <c r="G2502" s="19"/>
    </row>
    <row r="2503" spans="7:7" ht="12.75" customHeight="1" x14ac:dyDescent="0.25">
      <c r="G2503" s="19"/>
    </row>
    <row r="2504" spans="7:7" ht="12.75" customHeight="1" x14ac:dyDescent="0.25">
      <c r="G2504" s="19"/>
    </row>
    <row r="2505" spans="7:7" ht="12.75" customHeight="1" x14ac:dyDescent="0.25">
      <c r="G2505" s="19"/>
    </row>
    <row r="2506" spans="7:7" ht="12.75" customHeight="1" x14ac:dyDescent="0.25">
      <c r="G2506" s="19"/>
    </row>
    <row r="2507" spans="7:7" ht="12.75" customHeight="1" x14ac:dyDescent="0.25">
      <c r="G2507" s="19"/>
    </row>
    <row r="2508" spans="7:7" ht="12.75" customHeight="1" x14ac:dyDescent="0.25">
      <c r="G2508" s="19"/>
    </row>
    <row r="2509" spans="7:7" ht="12.75" customHeight="1" x14ac:dyDescent="0.25">
      <c r="G2509" s="19"/>
    </row>
    <row r="2510" spans="7:7" ht="12.75" customHeight="1" x14ac:dyDescent="0.25">
      <c r="G2510" s="19"/>
    </row>
    <row r="2511" spans="7:7" ht="12.75" customHeight="1" x14ac:dyDescent="0.25">
      <c r="G2511" s="19"/>
    </row>
    <row r="2512" spans="7:7" ht="12.75" customHeight="1" x14ac:dyDescent="0.25">
      <c r="G2512" s="19"/>
    </row>
    <row r="2513" spans="7:7" ht="12.75" customHeight="1" x14ac:dyDescent="0.25">
      <c r="G2513" s="19"/>
    </row>
    <row r="2514" spans="7:7" ht="12.75" customHeight="1" x14ac:dyDescent="0.25">
      <c r="G2514" s="19"/>
    </row>
    <row r="2515" spans="7:7" ht="12.75" customHeight="1" x14ac:dyDescent="0.25">
      <c r="G2515" s="19"/>
    </row>
    <row r="2516" spans="7:7" ht="12.75" customHeight="1" x14ac:dyDescent="0.25">
      <c r="G2516" s="19"/>
    </row>
    <row r="2517" spans="7:7" ht="12.75" customHeight="1" x14ac:dyDescent="0.25">
      <c r="G2517" s="19"/>
    </row>
    <row r="2518" spans="7:7" ht="12.75" customHeight="1" x14ac:dyDescent="0.25">
      <c r="G2518" s="19"/>
    </row>
    <row r="2519" spans="7:7" ht="12.75" customHeight="1" x14ac:dyDescent="0.25">
      <c r="G2519" s="19"/>
    </row>
    <row r="2520" spans="7:7" ht="12.75" customHeight="1" x14ac:dyDescent="0.25">
      <c r="G2520" s="19"/>
    </row>
    <row r="2521" spans="7:7" ht="12.75" customHeight="1" x14ac:dyDescent="0.25">
      <c r="G2521" s="19"/>
    </row>
    <row r="2522" spans="7:7" ht="12.75" customHeight="1" x14ac:dyDescent="0.25">
      <c r="G2522" s="19"/>
    </row>
    <row r="2523" spans="7:7" ht="12.75" customHeight="1" x14ac:dyDescent="0.25">
      <c r="G2523" s="19"/>
    </row>
    <row r="2524" spans="7:7" ht="12.75" customHeight="1" x14ac:dyDescent="0.25">
      <c r="G2524" s="19"/>
    </row>
    <row r="2525" spans="7:7" ht="12.75" customHeight="1" x14ac:dyDescent="0.25">
      <c r="G2525" s="19"/>
    </row>
    <row r="2526" spans="7:7" ht="12.75" customHeight="1" x14ac:dyDescent="0.25">
      <c r="G2526" s="19"/>
    </row>
    <row r="2527" spans="7:7" ht="12.75" customHeight="1" x14ac:dyDescent="0.25">
      <c r="G2527" s="19"/>
    </row>
    <row r="2528" spans="7:7" ht="12.75" customHeight="1" x14ac:dyDescent="0.25">
      <c r="G2528" s="19"/>
    </row>
    <row r="2529" spans="7:7" ht="12.75" customHeight="1" x14ac:dyDescent="0.25">
      <c r="G2529" s="19"/>
    </row>
    <row r="2530" spans="7:7" ht="12.75" customHeight="1" x14ac:dyDescent="0.25">
      <c r="G2530" s="19"/>
    </row>
    <row r="2531" spans="7:7" ht="12.75" customHeight="1" x14ac:dyDescent="0.25">
      <c r="G2531" s="19"/>
    </row>
    <row r="2532" spans="7:7" ht="12.75" customHeight="1" x14ac:dyDescent="0.25">
      <c r="G2532" s="19"/>
    </row>
    <row r="2533" spans="7:7" ht="12.75" customHeight="1" x14ac:dyDescent="0.25">
      <c r="G2533" s="19"/>
    </row>
    <row r="2534" spans="7:7" ht="12.75" customHeight="1" x14ac:dyDescent="0.25">
      <c r="G2534" s="19"/>
    </row>
    <row r="2535" spans="7:7" ht="12.75" customHeight="1" x14ac:dyDescent="0.25">
      <c r="G2535" s="19"/>
    </row>
    <row r="2536" spans="7:7" ht="12.75" customHeight="1" x14ac:dyDescent="0.25">
      <c r="G2536" s="19"/>
    </row>
    <row r="2537" spans="7:7" ht="12.75" customHeight="1" x14ac:dyDescent="0.25">
      <c r="G2537" s="19"/>
    </row>
    <row r="2538" spans="7:7" ht="12.75" customHeight="1" x14ac:dyDescent="0.25">
      <c r="G2538" s="19"/>
    </row>
    <row r="2539" spans="7:7" ht="12.75" customHeight="1" x14ac:dyDescent="0.25">
      <c r="G2539" s="19"/>
    </row>
    <row r="2540" spans="7:7" ht="12.75" customHeight="1" x14ac:dyDescent="0.25">
      <c r="G2540" s="19"/>
    </row>
    <row r="2541" spans="7:7" ht="12.75" customHeight="1" x14ac:dyDescent="0.25">
      <c r="G2541" s="19"/>
    </row>
    <row r="2542" spans="7:7" ht="12.75" customHeight="1" x14ac:dyDescent="0.25">
      <c r="G2542" s="19"/>
    </row>
    <row r="2543" spans="7:7" ht="12.75" customHeight="1" x14ac:dyDescent="0.25">
      <c r="G2543" s="19"/>
    </row>
    <row r="2544" spans="7:7" ht="12.75" customHeight="1" x14ac:dyDescent="0.25">
      <c r="G2544" s="19"/>
    </row>
    <row r="2545" spans="7:7" ht="12.75" customHeight="1" x14ac:dyDescent="0.25">
      <c r="G2545" s="19"/>
    </row>
    <row r="2546" spans="7:7" ht="12.75" customHeight="1" x14ac:dyDescent="0.25">
      <c r="G2546" s="19"/>
    </row>
    <row r="2547" spans="7:7" ht="12.75" customHeight="1" x14ac:dyDescent="0.25">
      <c r="G2547" s="19"/>
    </row>
    <row r="2548" spans="7:7" ht="12.75" customHeight="1" x14ac:dyDescent="0.25">
      <c r="G2548" s="19"/>
    </row>
    <row r="2549" spans="7:7" ht="12.75" customHeight="1" x14ac:dyDescent="0.25">
      <c r="G2549" s="19"/>
    </row>
    <row r="2550" spans="7:7" ht="12.75" customHeight="1" x14ac:dyDescent="0.25">
      <c r="G2550" s="19"/>
    </row>
    <row r="2551" spans="7:7" ht="12.75" customHeight="1" x14ac:dyDescent="0.25">
      <c r="G2551" s="19"/>
    </row>
    <row r="2552" spans="7:7" ht="12.75" customHeight="1" x14ac:dyDescent="0.25">
      <c r="G2552" s="19"/>
    </row>
    <row r="2553" spans="7:7" ht="12.75" customHeight="1" x14ac:dyDescent="0.25">
      <c r="G2553" s="19"/>
    </row>
    <row r="2554" spans="7:7" ht="12.75" customHeight="1" x14ac:dyDescent="0.25">
      <c r="G2554" s="19"/>
    </row>
    <row r="2555" spans="7:7" ht="12.75" customHeight="1" x14ac:dyDescent="0.25">
      <c r="G2555" s="19"/>
    </row>
    <row r="2556" spans="7:7" ht="12.75" customHeight="1" x14ac:dyDescent="0.25">
      <c r="G2556" s="19"/>
    </row>
    <row r="2557" spans="7:7" ht="12.75" customHeight="1" x14ac:dyDescent="0.25">
      <c r="G2557" s="19"/>
    </row>
    <row r="2558" spans="7:7" ht="12.75" customHeight="1" x14ac:dyDescent="0.25">
      <c r="G2558" s="19"/>
    </row>
    <row r="2559" spans="7:7" ht="12.75" customHeight="1" x14ac:dyDescent="0.25">
      <c r="G2559" s="19"/>
    </row>
    <row r="2560" spans="7:7" ht="12.75" customHeight="1" x14ac:dyDescent="0.25">
      <c r="G2560" s="19"/>
    </row>
    <row r="2561" spans="7:7" ht="12.75" customHeight="1" x14ac:dyDescent="0.25">
      <c r="G2561" s="19"/>
    </row>
    <row r="2562" spans="7:7" ht="12.75" customHeight="1" x14ac:dyDescent="0.25">
      <c r="G2562" s="19"/>
    </row>
    <row r="2563" spans="7:7" ht="12.75" customHeight="1" x14ac:dyDescent="0.25">
      <c r="G2563" s="19"/>
    </row>
    <row r="2564" spans="7:7" ht="12.75" customHeight="1" x14ac:dyDescent="0.25">
      <c r="G2564" s="19"/>
    </row>
    <row r="2565" spans="7:7" ht="12.75" customHeight="1" x14ac:dyDescent="0.25">
      <c r="G2565" s="19"/>
    </row>
    <row r="2566" spans="7:7" ht="12.75" customHeight="1" x14ac:dyDescent="0.25">
      <c r="G2566" s="19"/>
    </row>
    <row r="2567" spans="7:7" ht="12.75" customHeight="1" x14ac:dyDescent="0.25">
      <c r="G2567" s="19"/>
    </row>
    <row r="2568" spans="7:7" ht="12.75" customHeight="1" x14ac:dyDescent="0.25">
      <c r="G2568" s="19"/>
    </row>
    <row r="2569" spans="7:7" ht="12.75" customHeight="1" x14ac:dyDescent="0.25">
      <c r="G2569" s="19"/>
    </row>
    <row r="2570" spans="7:7" ht="12.75" customHeight="1" x14ac:dyDescent="0.25">
      <c r="G2570" s="19"/>
    </row>
    <row r="2571" spans="7:7" ht="12.75" customHeight="1" x14ac:dyDescent="0.25">
      <c r="G2571" s="19"/>
    </row>
    <row r="2572" spans="7:7" ht="12.75" customHeight="1" x14ac:dyDescent="0.25">
      <c r="G2572" s="19"/>
    </row>
    <row r="2573" spans="7:7" ht="12.75" customHeight="1" x14ac:dyDescent="0.25">
      <c r="G2573" s="19"/>
    </row>
    <row r="2574" spans="7:7" ht="12.75" customHeight="1" x14ac:dyDescent="0.25">
      <c r="G2574" s="19"/>
    </row>
    <row r="2575" spans="7:7" ht="12.75" customHeight="1" x14ac:dyDescent="0.25">
      <c r="G2575" s="19"/>
    </row>
    <row r="2576" spans="7:7" ht="12.75" customHeight="1" x14ac:dyDescent="0.25">
      <c r="G2576" s="19"/>
    </row>
    <row r="2577" spans="7:7" ht="12.75" customHeight="1" x14ac:dyDescent="0.25">
      <c r="G2577" s="19"/>
    </row>
    <row r="2578" spans="7:7" ht="12.75" customHeight="1" x14ac:dyDescent="0.25">
      <c r="G2578" s="19"/>
    </row>
    <row r="2579" spans="7:7" ht="12.75" customHeight="1" x14ac:dyDescent="0.25">
      <c r="G2579" s="19"/>
    </row>
    <row r="2580" spans="7:7" ht="12.75" customHeight="1" x14ac:dyDescent="0.25">
      <c r="G2580" s="19"/>
    </row>
    <row r="2581" spans="7:7" ht="12.75" customHeight="1" x14ac:dyDescent="0.25">
      <c r="G2581" s="19"/>
    </row>
    <row r="2582" spans="7:7" ht="12.75" customHeight="1" x14ac:dyDescent="0.25">
      <c r="G2582" s="19"/>
    </row>
    <row r="2583" spans="7:7" ht="12.75" customHeight="1" x14ac:dyDescent="0.25">
      <c r="G2583" s="19"/>
    </row>
    <row r="2584" spans="7:7" ht="12.75" customHeight="1" x14ac:dyDescent="0.25">
      <c r="G2584" s="19"/>
    </row>
    <row r="2585" spans="7:7" ht="12.75" customHeight="1" x14ac:dyDescent="0.25">
      <c r="G2585" s="19"/>
    </row>
    <row r="2586" spans="7:7" ht="12.75" customHeight="1" x14ac:dyDescent="0.25">
      <c r="G2586" s="19"/>
    </row>
    <row r="2587" spans="7:7" ht="12.75" customHeight="1" x14ac:dyDescent="0.25">
      <c r="G2587" s="19"/>
    </row>
    <row r="2588" spans="7:7" ht="12.75" customHeight="1" x14ac:dyDescent="0.25">
      <c r="G2588" s="19"/>
    </row>
    <row r="2589" spans="7:7" ht="12.75" customHeight="1" x14ac:dyDescent="0.25">
      <c r="G2589" s="19"/>
    </row>
    <row r="2590" spans="7:7" ht="12.75" customHeight="1" x14ac:dyDescent="0.25">
      <c r="G2590" s="19"/>
    </row>
    <row r="2591" spans="7:7" ht="12.75" customHeight="1" x14ac:dyDescent="0.25">
      <c r="G2591" s="19"/>
    </row>
    <row r="2592" spans="7:7" ht="12.75" customHeight="1" x14ac:dyDescent="0.25">
      <c r="G2592" s="19"/>
    </row>
    <row r="2593" spans="7:7" ht="12.75" customHeight="1" x14ac:dyDescent="0.25">
      <c r="G2593" s="19"/>
    </row>
    <row r="2594" spans="7:7" ht="12.75" customHeight="1" x14ac:dyDescent="0.25">
      <c r="G2594" s="19"/>
    </row>
    <row r="2595" spans="7:7" ht="12.75" customHeight="1" x14ac:dyDescent="0.25">
      <c r="G2595" s="19"/>
    </row>
    <row r="2596" spans="7:7" ht="12.75" customHeight="1" x14ac:dyDescent="0.25">
      <c r="G2596" s="19"/>
    </row>
    <row r="2597" spans="7:7" ht="12.75" customHeight="1" x14ac:dyDescent="0.25">
      <c r="G2597" s="19"/>
    </row>
    <row r="2598" spans="7:7" ht="12.75" customHeight="1" x14ac:dyDescent="0.25">
      <c r="G2598" s="19"/>
    </row>
    <row r="2599" spans="7:7" ht="12.75" customHeight="1" x14ac:dyDescent="0.25">
      <c r="G2599" s="19"/>
    </row>
    <row r="2600" spans="7:7" ht="12.75" customHeight="1" x14ac:dyDescent="0.25">
      <c r="G2600" s="19"/>
    </row>
    <row r="2601" spans="7:7" ht="12.75" customHeight="1" x14ac:dyDescent="0.25">
      <c r="G2601" s="19"/>
    </row>
    <row r="2602" spans="7:7" ht="12.75" customHeight="1" x14ac:dyDescent="0.25">
      <c r="G2602" s="19"/>
    </row>
    <row r="2603" spans="7:7" ht="12.75" customHeight="1" x14ac:dyDescent="0.25">
      <c r="G2603" s="19"/>
    </row>
    <row r="2604" spans="7:7" ht="12.75" customHeight="1" x14ac:dyDescent="0.25">
      <c r="G2604" s="19"/>
    </row>
    <row r="2605" spans="7:7" ht="12.75" customHeight="1" x14ac:dyDescent="0.25">
      <c r="G2605" s="19"/>
    </row>
    <row r="2606" spans="7:7" ht="12.75" customHeight="1" x14ac:dyDescent="0.25">
      <c r="G2606" s="19"/>
    </row>
    <row r="2607" spans="7:7" ht="12.75" customHeight="1" x14ac:dyDescent="0.25">
      <c r="G2607" s="19"/>
    </row>
    <row r="2608" spans="7:7" ht="12.75" customHeight="1" x14ac:dyDescent="0.25">
      <c r="G2608" s="19"/>
    </row>
    <row r="2609" spans="7:7" ht="12.75" customHeight="1" x14ac:dyDescent="0.25">
      <c r="G2609" s="19"/>
    </row>
    <row r="2610" spans="7:7" ht="12.75" customHeight="1" x14ac:dyDescent="0.25">
      <c r="G2610" s="19"/>
    </row>
    <row r="2611" spans="7:7" ht="12.75" customHeight="1" x14ac:dyDescent="0.25">
      <c r="G2611" s="19"/>
    </row>
    <row r="2612" spans="7:7" ht="12.75" customHeight="1" x14ac:dyDescent="0.25">
      <c r="G2612" s="19"/>
    </row>
    <row r="2613" spans="7:7" ht="12.75" customHeight="1" x14ac:dyDescent="0.25">
      <c r="G2613" s="19"/>
    </row>
    <row r="2614" spans="7:7" ht="12.75" customHeight="1" x14ac:dyDescent="0.25">
      <c r="G2614" s="19"/>
    </row>
    <row r="2615" spans="7:7" ht="12.75" customHeight="1" x14ac:dyDescent="0.25">
      <c r="G2615" s="19"/>
    </row>
    <row r="2616" spans="7:7" ht="12.75" customHeight="1" x14ac:dyDescent="0.25">
      <c r="G2616" s="19"/>
    </row>
    <row r="2617" spans="7:7" ht="12.75" customHeight="1" x14ac:dyDescent="0.25">
      <c r="G2617" s="19"/>
    </row>
    <row r="2618" spans="7:7" ht="12.75" customHeight="1" x14ac:dyDescent="0.25">
      <c r="G2618" s="19"/>
    </row>
    <row r="2619" spans="7:7" ht="12.75" customHeight="1" x14ac:dyDescent="0.25">
      <c r="G2619" s="19"/>
    </row>
    <row r="2620" spans="7:7" ht="12.75" customHeight="1" x14ac:dyDescent="0.25">
      <c r="G2620" s="19"/>
    </row>
    <row r="2621" spans="7:7" ht="12.75" customHeight="1" x14ac:dyDescent="0.25">
      <c r="G2621" s="19"/>
    </row>
    <row r="2622" spans="7:7" ht="12.75" customHeight="1" x14ac:dyDescent="0.25">
      <c r="G2622" s="19"/>
    </row>
    <row r="2623" spans="7:7" ht="12.75" customHeight="1" x14ac:dyDescent="0.25">
      <c r="G2623" s="19"/>
    </row>
    <row r="2624" spans="7:7" ht="12.75" customHeight="1" x14ac:dyDescent="0.25">
      <c r="G2624" s="19"/>
    </row>
    <row r="2625" spans="7:7" ht="12.75" customHeight="1" x14ac:dyDescent="0.25">
      <c r="G2625" s="19"/>
    </row>
    <row r="2626" spans="7:7" ht="12.75" customHeight="1" x14ac:dyDescent="0.25">
      <c r="G2626" s="19"/>
    </row>
    <row r="2627" spans="7:7" ht="12.75" customHeight="1" x14ac:dyDescent="0.25">
      <c r="G2627" s="19"/>
    </row>
    <row r="2628" spans="7:7" ht="12.75" customHeight="1" x14ac:dyDescent="0.25">
      <c r="G2628" s="19"/>
    </row>
    <row r="2629" spans="7:7" ht="12.75" customHeight="1" x14ac:dyDescent="0.25">
      <c r="G2629" s="19"/>
    </row>
    <row r="2630" spans="7:7" ht="12.75" customHeight="1" x14ac:dyDescent="0.25">
      <c r="G2630" s="19"/>
    </row>
    <row r="2631" spans="7:7" ht="12.75" customHeight="1" x14ac:dyDescent="0.25">
      <c r="G2631" s="19"/>
    </row>
    <row r="2632" spans="7:7" ht="12.75" customHeight="1" x14ac:dyDescent="0.25">
      <c r="G2632" s="19"/>
    </row>
    <row r="2633" spans="7:7" ht="12.75" customHeight="1" x14ac:dyDescent="0.25">
      <c r="G2633" s="19"/>
    </row>
    <row r="2634" spans="7:7" ht="12.75" customHeight="1" x14ac:dyDescent="0.25">
      <c r="G2634" s="19"/>
    </row>
    <row r="2635" spans="7:7" ht="12.75" customHeight="1" x14ac:dyDescent="0.25">
      <c r="G2635" s="19"/>
    </row>
    <row r="2636" spans="7:7" ht="12.75" customHeight="1" x14ac:dyDescent="0.25">
      <c r="G2636" s="19"/>
    </row>
    <row r="2637" spans="7:7" ht="12.75" customHeight="1" x14ac:dyDescent="0.25">
      <c r="G2637" s="19"/>
    </row>
    <row r="2638" spans="7:7" ht="12.75" customHeight="1" x14ac:dyDescent="0.25">
      <c r="G2638" s="19"/>
    </row>
    <row r="2639" spans="7:7" ht="12.75" customHeight="1" x14ac:dyDescent="0.25">
      <c r="G2639" s="19"/>
    </row>
    <row r="2640" spans="7:7" ht="12.75" customHeight="1" x14ac:dyDescent="0.25">
      <c r="G2640" s="19"/>
    </row>
    <row r="2641" spans="7:7" ht="12.75" customHeight="1" x14ac:dyDescent="0.25">
      <c r="G2641" s="19"/>
    </row>
    <row r="2642" spans="7:7" ht="12.75" customHeight="1" x14ac:dyDescent="0.25">
      <c r="G2642" s="19"/>
    </row>
    <row r="2643" spans="7:7" ht="12.75" customHeight="1" x14ac:dyDescent="0.25">
      <c r="G2643" s="19"/>
    </row>
    <row r="2644" spans="7:7" ht="12.75" customHeight="1" x14ac:dyDescent="0.25">
      <c r="G2644" s="19"/>
    </row>
    <row r="2645" spans="7:7" ht="12.75" customHeight="1" x14ac:dyDescent="0.25">
      <c r="G2645" s="19"/>
    </row>
    <row r="2646" spans="7:7" ht="12.75" customHeight="1" x14ac:dyDescent="0.25">
      <c r="G2646" s="19"/>
    </row>
    <row r="2647" spans="7:7" ht="12.75" customHeight="1" x14ac:dyDescent="0.25">
      <c r="G2647" s="19"/>
    </row>
    <row r="2648" spans="7:7" ht="12.75" customHeight="1" x14ac:dyDescent="0.25">
      <c r="G2648" s="19"/>
    </row>
    <row r="2649" spans="7:7" ht="12.75" customHeight="1" x14ac:dyDescent="0.25">
      <c r="G2649" s="19"/>
    </row>
    <row r="2650" spans="7:7" ht="12.75" customHeight="1" x14ac:dyDescent="0.25">
      <c r="G2650" s="19"/>
    </row>
    <row r="2651" spans="7:7" ht="12.75" customHeight="1" x14ac:dyDescent="0.25">
      <c r="G2651" s="19"/>
    </row>
    <row r="2652" spans="7:7" ht="12.75" customHeight="1" x14ac:dyDescent="0.25">
      <c r="G2652" s="19"/>
    </row>
    <row r="2653" spans="7:7" ht="12.75" customHeight="1" x14ac:dyDescent="0.25">
      <c r="G2653" s="19"/>
    </row>
    <row r="2654" spans="7:7" ht="12.75" customHeight="1" x14ac:dyDescent="0.25">
      <c r="G2654" s="19"/>
    </row>
    <row r="2655" spans="7:7" ht="12.75" customHeight="1" x14ac:dyDescent="0.25">
      <c r="G2655" s="19"/>
    </row>
    <row r="2656" spans="7:7" ht="12.75" customHeight="1" x14ac:dyDescent="0.25">
      <c r="G2656" s="19"/>
    </row>
    <row r="2657" spans="7:7" ht="12.75" customHeight="1" x14ac:dyDescent="0.25">
      <c r="G2657" s="19"/>
    </row>
    <row r="2658" spans="7:7" ht="12.75" customHeight="1" x14ac:dyDescent="0.25">
      <c r="G2658" s="19"/>
    </row>
    <row r="2659" spans="7:7" ht="12.75" customHeight="1" x14ac:dyDescent="0.25">
      <c r="G2659" s="19"/>
    </row>
    <row r="2660" spans="7:7" ht="12.75" customHeight="1" x14ac:dyDescent="0.25">
      <c r="G2660" s="19"/>
    </row>
    <row r="2661" spans="7:7" ht="12.75" customHeight="1" x14ac:dyDescent="0.25">
      <c r="G2661" s="19"/>
    </row>
    <row r="2662" spans="7:7" ht="12.75" customHeight="1" x14ac:dyDescent="0.25">
      <c r="G2662" s="19"/>
    </row>
    <row r="2663" spans="7:7" ht="12.75" customHeight="1" x14ac:dyDescent="0.25">
      <c r="G2663" s="19"/>
    </row>
    <row r="2664" spans="7:7" ht="12.75" customHeight="1" x14ac:dyDescent="0.25">
      <c r="G2664" s="19"/>
    </row>
    <row r="2665" spans="7:7" ht="12.75" customHeight="1" x14ac:dyDescent="0.25">
      <c r="G2665" s="19"/>
    </row>
    <row r="2666" spans="7:7" ht="12.75" customHeight="1" x14ac:dyDescent="0.25">
      <c r="G2666" s="19"/>
    </row>
    <row r="2667" spans="7:7" ht="12.75" customHeight="1" x14ac:dyDescent="0.25">
      <c r="G2667" s="19"/>
    </row>
    <row r="2668" spans="7:7" ht="12.75" customHeight="1" x14ac:dyDescent="0.25">
      <c r="G2668" s="19"/>
    </row>
    <row r="2669" spans="7:7" ht="12.75" customHeight="1" x14ac:dyDescent="0.25">
      <c r="G2669" s="19"/>
    </row>
    <row r="2670" spans="7:7" ht="12.75" customHeight="1" x14ac:dyDescent="0.25">
      <c r="G2670" s="19"/>
    </row>
    <row r="2671" spans="7:7" ht="12.75" customHeight="1" x14ac:dyDescent="0.25">
      <c r="G2671" s="19"/>
    </row>
    <row r="2672" spans="7:7" ht="12.75" customHeight="1" x14ac:dyDescent="0.25">
      <c r="G2672" s="19"/>
    </row>
    <row r="2673" spans="7:7" ht="12.75" customHeight="1" x14ac:dyDescent="0.25">
      <c r="G2673" s="19"/>
    </row>
    <row r="2674" spans="7:7" ht="12.75" customHeight="1" x14ac:dyDescent="0.25">
      <c r="G2674" s="19"/>
    </row>
    <row r="2675" spans="7:7" ht="12.75" customHeight="1" x14ac:dyDescent="0.25">
      <c r="G2675" s="19"/>
    </row>
    <row r="2676" spans="7:7" ht="12.75" customHeight="1" x14ac:dyDescent="0.25">
      <c r="G2676" s="19"/>
    </row>
    <row r="2677" spans="7:7" ht="12.75" customHeight="1" x14ac:dyDescent="0.25">
      <c r="G2677" s="19"/>
    </row>
    <row r="2678" spans="7:7" ht="12.75" customHeight="1" x14ac:dyDescent="0.25">
      <c r="G2678" s="19"/>
    </row>
    <row r="2679" spans="7:7" ht="12.75" customHeight="1" x14ac:dyDescent="0.25">
      <c r="G2679" s="19"/>
    </row>
    <row r="2680" spans="7:7" ht="12.75" customHeight="1" x14ac:dyDescent="0.25">
      <c r="G2680" s="19"/>
    </row>
    <row r="2681" spans="7:7" ht="12.75" customHeight="1" x14ac:dyDescent="0.25">
      <c r="G2681" s="19"/>
    </row>
    <row r="2682" spans="7:7" ht="12.75" customHeight="1" x14ac:dyDescent="0.25">
      <c r="G2682" s="19"/>
    </row>
    <row r="2683" spans="7:7" ht="12.75" customHeight="1" x14ac:dyDescent="0.25">
      <c r="G2683" s="19"/>
    </row>
    <row r="2684" spans="7:7" ht="12.75" customHeight="1" x14ac:dyDescent="0.25">
      <c r="G2684" s="19"/>
    </row>
    <row r="2685" spans="7:7" ht="12.75" customHeight="1" x14ac:dyDescent="0.25">
      <c r="G2685" s="19"/>
    </row>
    <row r="2686" spans="7:7" ht="12.75" customHeight="1" x14ac:dyDescent="0.25">
      <c r="G2686" s="19"/>
    </row>
    <row r="2687" spans="7:7" ht="12.75" customHeight="1" x14ac:dyDescent="0.25">
      <c r="G2687" s="19"/>
    </row>
    <row r="2688" spans="7:7" ht="12.75" customHeight="1" x14ac:dyDescent="0.25">
      <c r="G2688" s="19"/>
    </row>
    <row r="2689" spans="7:7" ht="12.75" customHeight="1" x14ac:dyDescent="0.25">
      <c r="G2689" s="19"/>
    </row>
    <row r="2690" spans="7:7" ht="12.75" customHeight="1" x14ac:dyDescent="0.25">
      <c r="G2690" s="19"/>
    </row>
    <row r="2691" spans="7:7" ht="12.75" customHeight="1" x14ac:dyDescent="0.25">
      <c r="G2691" s="19"/>
    </row>
    <row r="2692" spans="7:7" ht="12.75" customHeight="1" x14ac:dyDescent="0.25">
      <c r="G2692" s="19"/>
    </row>
    <row r="2693" spans="7:7" ht="12.75" customHeight="1" x14ac:dyDescent="0.25">
      <c r="G2693" s="19"/>
    </row>
    <row r="2694" spans="7:7" ht="12.75" customHeight="1" x14ac:dyDescent="0.25">
      <c r="G2694" s="19"/>
    </row>
    <row r="2695" spans="7:7" ht="12.75" customHeight="1" x14ac:dyDescent="0.25">
      <c r="G2695" s="19"/>
    </row>
    <row r="2696" spans="7:7" ht="12.75" customHeight="1" x14ac:dyDescent="0.25">
      <c r="G2696" s="19"/>
    </row>
    <row r="2697" spans="7:7" ht="12.75" customHeight="1" x14ac:dyDescent="0.25">
      <c r="G2697" s="19"/>
    </row>
    <row r="2698" spans="7:7" ht="12.75" customHeight="1" x14ac:dyDescent="0.25">
      <c r="G2698" s="19"/>
    </row>
    <row r="2699" spans="7:7" ht="12.75" customHeight="1" x14ac:dyDescent="0.25">
      <c r="G2699" s="19"/>
    </row>
    <row r="2700" spans="7:7" ht="12.75" customHeight="1" x14ac:dyDescent="0.25">
      <c r="G2700" s="19"/>
    </row>
    <row r="2701" spans="7:7" ht="12.75" customHeight="1" x14ac:dyDescent="0.25">
      <c r="G2701" s="19"/>
    </row>
    <row r="2702" spans="7:7" ht="12.75" customHeight="1" x14ac:dyDescent="0.25">
      <c r="G2702" s="19"/>
    </row>
    <row r="2703" spans="7:7" ht="12.75" customHeight="1" x14ac:dyDescent="0.25">
      <c r="G2703" s="19"/>
    </row>
    <row r="2704" spans="7:7" ht="12.75" customHeight="1" x14ac:dyDescent="0.25">
      <c r="G2704" s="19"/>
    </row>
    <row r="2705" spans="7:7" ht="12.75" customHeight="1" x14ac:dyDescent="0.25">
      <c r="G2705" s="19"/>
    </row>
    <row r="2706" spans="7:7" ht="12.75" customHeight="1" x14ac:dyDescent="0.25">
      <c r="G2706" s="19"/>
    </row>
    <row r="2707" spans="7:7" ht="12.75" customHeight="1" x14ac:dyDescent="0.25">
      <c r="G2707" s="19"/>
    </row>
    <row r="2708" spans="7:7" ht="12.75" customHeight="1" x14ac:dyDescent="0.25">
      <c r="G2708" s="19"/>
    </row>
    <row r="2709" spans="7:7" ht="12.75" customHeight="1" x14ac:dyDescent="0.25">
      <c r="G2709" s="19"/>
    </row>
    <row r="2710" spans="7:7" ht="12.75" customHeight="1" x14ac:dyDescent="0.25">
      <c r="G2710" s="19"/>
    </row>
    <row r="2711" spans="7:7" ht="12.75" customHeight="1" x14ac:dyDescent="0.25">
      <c r="G2711" s="19"/>
    </row>
    <row r="2712" spans="7:7" ht="12.75" customHeight="1" x14ac:dyDescent="0.25">
      <c r="G2712" s="19"/>
    </row>
    <row r="2713" spans="7:7" ht="12.75" customHeight="1" x14ac:dyDescent="0.25">
      <c r="G2713" s="19"/>
    </row>
    <row r="2714" spans="7:7" ht="12.75" customHeight="1" x14ac:dyDescent="0.25">
      <c r="G2714" s="19"/>
    </row>
    <row r="2715" spans="7:7" ht="12.75" customHeight="1" x14ac:dyDescent="0.25">
      <c r="G2715" s="19"/>
    </row>
    <row r="2716" spans="7:7" ht="12.75" customHeight="1" x14ac:dyDescent="0.25">
      <c r="G2716" s="19"/>
    </row>
    <row r="2717" spans="7:7" ht="12.75" customHeight="1" x14ac:dyDescent="0.25">
      <c r="G2717" s="19"/>
    </row>
    <row r="2718" spans="7:7" ht="12.75" customHeight="1" x14ac:dyDescent="0.25">
      <c r="G2718" s="19"/>
    </row>
    <row r="2719" spans="7:7" ht="12.75" customHeight="1" x14ac:dyDescent="0.25">
      <c r="G2719" s="19"/>
    </row>
    <row r="2720" spans="7:7" ht="12.75" customHeight="1" x14ac:dyDescent="0.25">
      <c r="G2720" s="19"/>
    </row>
    <row r="2721" spans="7:7" ht="12.75" customHeight="1" x14ac:dyDescent="0.25">
      <c r="G2721" s="19"/>
    </row>
    <row r="2722" spans="7:7" ht="12.75" customHeight="1" x14ac:dyDescent="0.25">
      <c r="G2722" s="19"/>
    </row>
    <row r="2723" spans="7:7" ht="12.75" customHeight="1" x14ac:dyDescent="0.25">
      <c r="G2723" s="19"/>
    </row>
    <row r="2724" spans="7:7" ht="12.75" customHeight="1" x14ac:dyDescent="0.25">
      <c r="G2724" s="19"/>
    </row>
    <row r="2725" spans="7:7" ht="12.75" customHeight="1" x14ac:dyDescent="0.25">
      <c r="G2725" s="19"/>
    </row>
    <row r="2726" spans="7:7" ht="12.75" customHeight="1" x14ac:dyDescent="0.25">
      <c r="G2726" s="19"/>
    </row>
    <row r="2727" spans="7:7" ht="12.75" customHeight="1" x14ac:dyDescent="0.25">
      <c r="G2727" s="19"/>
    </row>
    <row r="2728" spans="7:7" ht="12.75" customHeight="1" x14ac:dyDescent="0.25">
      <c r="G2728" s="19"/>
    </row>
    <row r="2729" spans="7:7" ht="12.75" customHeight="1" x14ac:dyDescent="0.25">
      <c r="G2729" s="19"/>
    </row>
    <row r="2730" spans="7:7" ht="12.75" customHeight="1" x14ac:dyDescent="0.25">
      <c r="G2730" s="19"/>
    </row>
    <row r="2731" spans="7:7" ht="12.75" customHeight="1" x14ac:dyDescent="0.25">
      <c r="G2731" s="19"/>
    </row>
    <row r="2732" spans="7:7" ht="12.75" customHeight="1" x14ac:dyDescent="0.25">
      <c r="G2732" s="19"/>
    </row>
    <row r="2733" spans="7:7" ht="12.75" customHeight="1" x14ac:dyDescent="0.25">
      <c r="G2733" s="19"/>
    </row>
    <row r="2734" spans="7:7" ht="12.75" customHeight="1" x14ac:dyDescent="0.25">
      <c r="G2734" s="19"/>
    </row>
    <row r="2735" spans="7:7" ht="12.75" customHeight="1" x14ac:dyDescent="0.25">
      <c r="G2735" s="19"/>
    </row>
    <row r="2736" spans="7:7" ht="12.75" customHeight="1" x14ac:dyDescent="0.25">
      <c r="G2736" s="19"/>
    </row>
    <row r="2737" spans="7:7" ht="12.75" customHeight="1" x14ac:dyDescent="0.25">
      <c r="G2737" s="19"/>
    </row>
    <row r="2738" spans="7:7" ht="12.75" customHeight="1" x14ac:dyDescent="0.25">
      <c r="G2738" s="19"/>
    </row>
    <row r="2739" spans="7:7" ht="12.75" customHeight="1" x14ac:dyDescent="0.25">
      <c r="G2739" s="19"/>
    </row>
    <row r="2740" spans="7:7" ht="12.75" customHeight="1" x14ac:dyDescent="0.25">
      <c r="G2740" s="19"/>
    </row>
    <row r="2741" spans="7:7" ht="12.75" customHeight="1" x14ac:dyDescent="0.25">
      <c r="G2741" s="19"/>
    </row>
    <row r="2742" spans="7:7" ht="12.75" customHeight="1" x14ac:dyDescent="0.25">
      <c r="G2742" s="19"/>
    </row>
    <row r="2743" spans="7:7" ht="12.75" customHeight="1" x14ac:dyDescent="0.25">
      <c r="G2743" s="19"/>
    </row>
    <row r="2744" spans="7:7" ht="12.75" customHeight="1" x14ac:dyDescent="0.25">
      <c r="G2744" s="19"/>
    </row>
    <row r="2745" spans="7:7" ht="12.75" customHeight="1" x14ac:dyDescent="0.25">
      <c r="G2745" s="19"/>
    </row>
    <row r="2746" spans="7:7" ht="12.75" customHeight="1" x14ac:dyDescent="0.25">
      <c r="G2746" s="19"/>
    </row>
    <row r="2747" spans="7:7" ht="12.75" customHeight="1" x14ac:dyDescent="0.25">
      <c r="G2747" s="19"/>
    </row>
    <row r="2748" spans="7:7" ht="12.75" customHeight="1" x14ac:dyDescent="0.25">
      <c r="G2748" s="19"/>
    </row>
    <row r="2749" spans="7:7" ht="12.75" customHeight="1" x14ac:dyDescent="0.25">
      <c r="G2749" s="19"/>
    </row>
    <row r="2750" spans="7:7" ht="12.75" customHeight="1" x14ac:dyDescent="0.25">
      <c r="G2750" s="19"/>
    </row>
    <row r="2751" spans="7:7" ht="12.75" customHeight="1" x14ac:dyDescent="0.25">
      <c r="G2751" s="19"/>
    </row>
    <row r="2752" spans="7:7" ht="12.75" customHeight="1" x14ac:dyDescent="0.25">
      <c r="G2752" s="19"/>
    </row>
    <row r="2753" spans="7:7" ht="12.75" customHeight="1" x14ac:dyDescent="0.25">
      <c r="G2753" s="19"/>
    </row>
    <row r="2754" spans="7:7" ht="12.75" customHeight="1" x14ac:dyDescent="0.25">
      <c r="G2754" s="19"/>
    </row>
    <row r="2755" spans="7:7" ht="12.75" customHeight="1" x14ac:dyDescent="0.25">
      <c r="G2755" s="19"/>
    </row>
    <row r="2756" spans="7:7" ht="12.75" customHeight="1" x14ac:dyDescent="0.25">
      <c r="G2756" s="19"/>
    </row>
    <row r="2757" spans="7:7" ht="12.75" customHeight="1" x14ac:dyDescent="0.25">
      <c r="G2757" s="19"/>
    </row>
    <row r="2758" spans="7:7" ht="12.75" customHeight="1" x14ac:dyDescent="0.25">
      <c r="G2758" s="19"/>
    </row>
    <row r="2759" spans="7:7" ht="12.75" customHeight="1" x14ac:dyDescent="0.25">
      <c r="G2759" s="19"/>
    </row>
    <row r="2760" spans="7:7" ht="12.75" customHeight="1" x14ac:dyDescent="0.25">
      <c r="G2760" s="19"/>
    </row>
    <row r="2761" spans="7:7" ht="12.75" customHeight="1" x14ac:dyDescent="0.25">
      <c r="G2761" s="19"/>
    </row>
    <row r="2762" spans="7:7" ht="12.75" customHeight="1" x14ac:dyDescent="0.25">
      <c r="G2762" s="19"/>
    </row>
    <row r="2763" spans="7:7" ht="12.75" customHeight="1" x14ac:dyDescent="0.25">
      <c r="G2763" s="19"/>
    </row>
    <row r="2764" spans="7:7" ht="12.75" customHeight="1" x14ac:dyDescent="0.25">
      <c r="G2764" s="19"/>
    </row>
    <row r="2765" spans="7:7" ht="12.75" customHeight="1" x14ac:dyDescent="0.25">
      <c r="G2765" s="19"/>
    </row>
    <row r="2766" spans="7:7" ht="12.75" customHeight="1" x14ac:dyDescent="0.25">
      <c r="G2766" s="19"/>
    </row>
    <row r="2767" spans="7:7" ht="12.75" customHeight="1" x14ac:dyDescent="0.25">
      <c r="G2767" s="19"/>
    </row>
    <row r="2768" spans="7:7" ht="12.75" customHeight="1" x14ac:dyDescent="0.25">
      <c r="G2768" s="19"/>
    </row>
    <row r="2769" spans="7:7" ht="12.75" customHeight="1" x14ac:dyDescent="0.25">
      <c r="G2769" s="19"/>
    </row>
    <row r="2770" spans="7:7" ht="12.75" customHeight="1" x14ac:dyDescent="0.25">
      <c r="G2770" s="19"/>
    </row>
    <row r="2771" spans="7:7" ht="12.75" customHeight="1" x14ac:dyDescent="0.25">
      <c r="G2771" s="19"/>
    </row>
    <row r="2772" spans="7:7" ht="12.75" customHeight="1" x14ac:dyDescent="0.25">
      <c r="G2772" s="19"/>
    </row>
    <row r="2773" spans="7:7" ht="12.75" customHeight="1" x14ac:dyDescent="0.25">
      <c r="G2773" s="19"/>
    </row>
    <row r="2774" spans="7:7" ht="12.75" customHeight="1" x14ac:dyDescent="0.25">
      <c r="G2774" s="19"/>
    </row>
    <row r="2775" spans="7:7" ht="12.75" customHeight="1" x14ac:dyDescent="0.25">
      <c r="G2775" s="19"/>
    </row>
    <row r="2776" spans="7:7" ht="12.75" customHeight="1" x14ac:dyDescent="0.25">
      <c r="G2776" s="19"/>
    </row>
    <row r="2777" spans="7:7" ht="12.75" customHeight="1" x14ac:dyDescent="0.25">
      <c r="G2777" s="19"/>
    </row>
    <row r="2778" spans="7:7" ht="12.75" customHeight="1" x14ac:dyDescent="0.25">
      <c r="G2778" s="19"/>
    </row>
    <row r="2779" spans="7:7" ht="12.75" customHeight="1" x14ac:dyDescent="0.25">
      <c r="G2779" s="19"/>
    </row>
    <row r="2780" spans="7:7" ht="12.75" customHeight="1" x14ac:dyDescent="0.25">
      <c r="G2780" s="19"/>
    </row>
    <row r="2781" spans="7:7" ht="12.75" customHeight="1" x14ac:dyDescent="0.25">
      <c r="G2781" s="19"/>
    </row>
    <row r="2782" spans="7:7" ht="12.75" customHeight="1" x14ac:dyDescent="0.25">
      <c r="G2782" s="19"/>
    </row>
    <row r="2783" spans="7:7" ht="12.75" customHeight="1" x14ac:dyDescent="0.25">
      <c r="G2783" s="19"/>
    </row>
    <row r="2784" spans="7:7" ht="12.75" customHeight="1" x14ac:dyDescent="0.25">
      <c r="G2784" s="19"/>
    </row>
    <row r="2785" spans="7:7" ht="12.75" customHeight="1" x14ac:dyDescent="0.25">
      <c r="G2785" s="19"/>
    </row>
    <row r="2786" spans="7:7" ht="12.75" customHeight="1" x14ac:dyDescent="0.25">
      <c r="G2786" s="19"/>
    </row>
    <row r="2787" spans="7:7" ht="12.75" customHeight="1" x14ac:dyDescent="0.25">
      <c r="G2787" s="19"/>
    </row>
    <row r="2788" spans="7:7" ht="12.75" customHeight="1" x14ac:dyDescent="0.25">
      <c r="G2788" s="19"/>
    </row>
    <row r="2789" spans="7:7" ht="12.75" customHeight="1" x14ac:dyDescent="0.25">
      <c r="G2789" s="19"/>
    </row>
    <row r="2790" spans="7:7" ht="12.75" customHeight="1" x14ac:dyDescent="0.25">
      <c r="G2790" s="19"/>
    </row>
    <row r="2791" spans="7:7" ht="12.75" customHeight="1" x14ac:dyDescent="0.25">
      <c r="G2791" s="19"/>
    </row>
    <row r="2792" spans="7:7" ht="12.75" customHeight="1" x14ac:dyDescent="0.25">
      <c r="G2792" s="19"/>
    </row>
    <row r="2793" spans="7:7" ht="12.75" customHeight="1" x14ac:dyDescent="0.25">
      <c r="G2793" s="19"/>
    </row>
    <row r="2794" spans="7:7" ht="12.75" customHeight="1" x14ac:dyDescent="0.25">
      <c r="G2794" s="19"/>
    </row>
    <row r="2795" spans="7:7" ht="12.75" customHeight="1" x14ac:dyDescent="0.25">
      <c r="G2795" s="19"/>
    </row>
    <row r="2796" spans="7:7" ht="12.75" customHeight="1" x14ac:dyDescent="0.25">
      <c r="G2796" s="19"/>
    </row>
    <row r="2797" spans="7:7" ht="12.75" customHeight="1" x14ac:dyDescent="0.25">
      <c r="G2797" s="19"/>
    </row>
    <row r="2798" spans="7:7" ht="12.75" customHeight="1" x14ac:dyDescent="0.25">
      <c r="G2798" s="19"/>
    </row>
    <row r="2799" spans="7:7" ht="12.75" customHeight="1" x14ac:dyDescent="0.25">
      <c r="G2799" s="19"/>
    </row>
    <row r="2800" spans="7:7" ht="12.75" customHeight="1" x14ac:dyDescent="0.25">
      <c r="G2800" s="19"/>
    </row>
    <row r="2801" spans="7:7" ht="12.75" customHeight="1" x14ac:dyDescent="0.25">
      <c r="G2801" s="19"/>
    </row>
    <row r="2802" spans="7:7" ht="12.75" customHeight="1" x14ac:dyDescent="0.25">
      <c r="G2802" s="19"/>
    </row>
    <row r="2803" spans="7:7" ht="12.75" customHeight="1" x14ac:dyDescent="0.25">
      <c r="G2803" s="19"/>
    </row>
    <row r="2804" spans="7:7" ht="12.75" customHeight="1" x14ac:dyDescent="0.25">
      <c r="G2804" s="19"/>
    </row>
    <row r="2805" spans="7:7" ht="12.75" customHeight="1" x14ac:dyDescent="0.25">
      <c r="G2805" s="19"/>
    </row>
    <row r="2806" spans="7:7" ht="12.75" customHeight="1" x14ac:dyDescent="0.25">
      <c r="G2806" s="19"/>
    </row>
    <row r="2807" spans="7:7" ht="12.75" customHeight="1" x14ac:dyDescent="0.25">
      <c r="G2807" s="19"/>
    </row>
    <row r="2808" spans="7:7" ht="12.75" customHeight="1" x14ac:dyDescent="0.25">
      <c r="G2808" s="19"/>
    </row>
    <row r="2809" spans="7:7" ht="12.75" customHeight="1" x14ac:dyDescent="0.25">
      <c r="G2809" s="19"/>
    </row>
    <row r="2810" spans="7:7" ht="12.75" customHeight="1" x14ac:dyDescent="0.25">
      <c r="G2810" s="19"/>
    </row>
    <row r="2811" spans="7:7" ht="12.75" customHeight="1" x14ac:dyDescent="0.25">
      <c r="G2811" s="19"/>
    </row>
    <row r="2812" spans="7:7" ht="12.75" customHeight="1" x14ac:dyDescent="0.25">
      <c r="G2812" s="19"/>
    </row>
    <row r="2813" spans="7:7" ht="12.75" customHeight="1" x14ac:dyDescent="0.25">
      <c r="G2813" s="19"/>
    </row>
    <row r="2814" spans="7:7" ht="12.75" customHeight="1" x14ac:dyDescent="0.25">
      <c r="G2814" s="19"/>
    </row>
    <row r="2815" spans="7:7" ht="12.75" customHeight="1" x14ac:dyDescent="0.25">
      <c r="G2815" s="19"/>
    </row>
    <row r="2816" spans="7:7" ht="12.75" customHeight="1" x14ac:dyDescent="0.25">
      <c r="G2816" s="19"/>
    </row>
    <row r="2817" spans="7:7" ht="12.75" customHeight="1" x14ac:dyDescent="0.25">
      <c r="G2817" s="19"/>
    </row>
    <row r="2818" spans="7:7" ht="12.75" customHeight="1" x14ac:dyDescent="0.25">
      <c r="G2818" s="19"/>
    </row>
    <row r="2819" spans="7:7" ht="12.75" customHeight="1" x14ac:dyDescent="0.25">
      <c r="G2819" s="19"/>
    </row>
    <row r="2820" spans="7:7" ht="12.75" customHeight="1" x14ac:dyDescent="0.25">
      <c r="G2820" s="19"/>
    </row>
    <row r="2821" spans="7:7" ht="12.75" customHeight="1" x14ac:dyDescent="0.25">
      <c r="G2821" s="19"/>
    </row>
    <row r="2822" spans="7:7" ht="12.75" customHeight="1" x14ac:dyDescent="0.25">
      <c r="G2822" s="19"/>
    </row>
    <row r="2823" spans="7:7" ht="12.75" customHeight="1" x14ac:dyDescent="0.25">
      <c r="G2823" s="19"/>
    </row>
    <row r="2824" spans="7:7" ht="12.75" customHeight="1" x14ac:dyDescent="0.25">
      <c r="G2824" s="19"/>
    </row>
    <row r="2825" spans="7:7" ht="12.75" customHeight="1" x14ac:dyDescent="0.25">
      <c r="G2825" s="19"/>
    </row>
    <row r="2826" spans="7:7" ht="12.75" customHeight="1" x14ac:dyDescent="0.25">
      <c r="G2826" s="19"/>
    </row>
    <row r="2827" spans="7:7" ht="12.75" customHeight="1" x14ac:dyDescent="0.25">
      <c r="G2827" s="19"/>
    </row>
    <row r="2828" spans="7:7" ht="12.75" customHeight="1" x14ac:dyDescent="0.25">
      <c r="G2828" s="19"/>
    </row>
    <row r="2829" spans="7:7" ht="12.75" customHeight="1" x14ac:dyDescent="0.25">
      <c r="G2829" s="19"/>
    </row>
    <row r="2830" spans="7:7" ht="12.75" customHeight="1" x14ac:dyDescent="0.25">
      <c r="G2830" s="19"/>
    </row>
    <row r="2831" spans="7:7" ht="12.75" customHeight="1" x14ac:dyDescent="0.25">
      <c r="G2831" s="19"/>
    </row>
    <row r="2832" spans="7:7" ht="12.75" customHeight="1" x14ac:dyDescent="0.25">
      <c r="G2832" s="19"/>
    </row>
    <row r="2833" spans="7:7" ht="12.75" customHeight="1" x14ac:dyDescent="0.25">
      <c r="G2833" s="19"/>
    </row>
    <row r="2834" spans="7:7" ht="12.75" customHeight="1" x14ac:dyDescent="0.25">
      <c r="G2834" s="19"/>
    </row>
    <row r="2835" spans="7:7" ht="12.75" customHeight="1" x14ac:dyDescent="0.25">
      <c r="G2835" s="19"/>
    </row>
    <row r="2836" spans="7:7" ht="12.75" customHeight="1" x14ac:dyDescent="0.25">
      <c r="G2836" s="19"/>
    </row>
    <row r="2837" spans="7:7" ht="12.75" customHeight="1" x14ac:dyDescent="0.25">
      <c r="G2837" s="19"/>
    </row>
    <row r="2838" spans="7:7" ht="12.75" customHeight="1" x14ac:dyDescent="0.25">
      <c r="G2838" s="19"/>
    </row>
    <row r="2839" spans="7:7" ht="12.75" customHeight="1" x14ac:dyDescent="0.25">
      <c r="G2839" s="19"/>
    </row>
    <row r="2840" spans="7:7" ht="12.75" customHeight="1" x14ac:dyDescent="0.25">
      <c r="G2840" s="19"/>
    </row>
    <row r="2841" spans="7:7" ht="12.75" customHeight="1" x14ac:dyDescent="0.25">
      <c r="G2841" s="19"/>
    </row>
    <row r="2842" spans="7:7" ht="12.75" customHeight="1" x14ac:dyDescent="0.25">
      <c r="G2842" s="19"/>
    </row>
    <row r="2843" spans="7:7" ht="12.75" customHeight="1" x14ac:dyDescent="0.25">
      <c r="G2843" s="19"/>
    </row>
    <row r="2844" spans="7:7" ht="12.75" customHeight="1" x14ac:dyDescent="0.25">
      <c r="G2844" s="19"/>
    </row>
    <row r="2845" spans="7:7" ht="12.75" customHeight="1" x14ac:dyDescent="0.25">
      <c r="G2845" s="19"/>
    </row>
    <row r="2846" spans="7:7" ht="12.75" customHeight="1" x14ac:dyDescent="0.25">
      <c r="G2846" s="19"/>
    </row>
    <row r="2847" spans="7:7" ht="12.75" customHeight="1" x14ac:dyDescent="0.25">
      <c r="G2847" s="19"/>
    </row>
    <row r="2848" spans="7:7" ht="12.75" customHeight="1" x14ac:dyDescent="0.25">
      <c r="G2848" s="19"/>
    </row>
    <row r="2849" spans="7:7" ht="12.75" customHeight="1" x14ac:dyDescent="0.25">
      <c r="G2849" s="19"/>
    </row>
    <row r="2850" spans="7:7" ht="12.75" customHeight="1" x14ac:dyDescent="0.25">
      <c r="G2850" s="19"/>
    </row>
    <row r="2851" spans="7:7" ht="12.75" customHeight="1" x14ac:dyDescent="0.25">
      <c r="G2851" s="19"/>
    </row>
    <row r="2852" spans="7:7" ht="12.75" customHeight="1" x14ac:dyDescent="0.25">
      <c r="G2852" s="19"/>
    </row>
    <row r="2853" spans="7:7" ht="12.75" customHeight="1" x14ac:dyDescent="0.25">
      <c r="G2853" s="19"/>
    </row>
    <row r="2854" spans="7:7" ht="12.75" customHeight="1" x14ac:dyDescent="0.25">
      <c r="G2854" s="19"/>
    </row>
    <row r="2855" spans="7:7" ht="12.75" customHeight="1" x14ac:dyDescent="0.25">
      <c r="G2855" s="19"/>
    </row>
    <row r="2856" spans="7:7" ht="12.75" customHeight="1" x14ac:dyDescent="0.25">
      <c r="G2856" s="19"/>
    </row>
    <row r="2857" spans="7:7" ht="12.75" customHeight="1" x14ac:dyDescent="0.25">
      <c r="G2857" s="19"/>
    </row>
    <row r="2858" spans="7:7" ht="12.75" customHeight="1" x14ac:dyDescent="0.25">
      <c r="G2858" s="19"/>
    </row>
    <row r="2859" spans="7:7" ht="12.75" customHeight="1" x14ac:dyDescent="0.25">
      <c r="G2859" s="19"/>
    </row>
    <row r="2860" spans="7:7" ht="12.75" customHeight="1" x14ac:dyDescent="0.25">
      <c r="G2860" s="19"/>
    </row>
    <row r="2861" spans="7:7" ht="12.75" customHeight="1" x14ac:dyDescent="0.25">
      <c r="G2861" s="19"/>
    </row>
    <row r="2862" spans="7:7" ht="12.75" customHeight="1" x14ac:dyDescent="0.25">
      <c r="G2862" s="19"/>
    </row>
    <row r="2863" spans="7:7" ht="12.75" customHeight="1" x14ac:dyDescent="0.25">
      <c r="G2863" s="19"/>
    </row>
    <row r="2864" spans="7:7" ht="12.75" customHeight="1" x14ac:dyDescent="0.25">
      <c r="G2864" s="19"/>
    </row>
    <row r="2865" spans="7:7" ht="12.75" customHeight="1" x14ac:dyDescent="0.25">
      <c r="G2865" s="19"/>
    </row>
    <row r="2866" spans="7:7" ht="12.75" customHeight="1" x14ac:dyDescent="0.25">
      <c r="G2866" s="19"/>
    </row>
    <row r="2867" spans="7:7" ht="12.75" customHeight="1" x14ac:dyDescent="0.25">
      <c r="G2867" s="19"/>
    </row>
    <row r="2868" spans="7:7" ht="12.75" customHeight="1" x14ac:dyDescent="0.25">
      <c r="G2868" s="19"/>
    </row>
    <row r="2869" spans="7:7" ht="12.75" customHeight="1" x14ac:dyDescent="0.25">
      <c r="G2869" s="19"/>
    </row>
    <row r="2870" spans="7:7" ht="12.75" customHeight="1" x14ac:dyDescent="0.25">
      <c r="G2870" s="19"/>
    </row>
    <row r="2871" spans="7:7" ht="12.75" customHeight="1" x14ac:dyDescent="0.25">
      <c r="G2871" s="19"/>
    </row>
    <row r="2872" spans="7:7" ht="12.75" customHeight="1" x14ac:dyDescent="0.25">
      <c r="G2872" s="19"/>
    </row>
    <row r="2873" spans="7:7" ht="12.75" customHeight="1" x14ac:dyDescent="0.25">
      <c r="G2873" s="19"/>
    </row>
    <row r="2874" spans="7:7" ht="12.75" customHeight="1" x14ac:dyDescent="0.25">
      <c r="G2874" s="19"/>
    </row>
    <row r="2875" spans="7:7" ht="12.75" customHeight="1" x14ac:dyDescent="0.25">
      <c r="G2875" s="19"/>
    </row>
    <row r="2876" spans="7:7" ht="12.75" customHeight="1" x14ac:dyDescent="0.25">
      <c r="G2876" s="19"/>
    </row>
    <row r="2877" spans="7:7" ht="12.75" customHeight="1" x14ac:dyDescent="0.25">
      <c r="G2877" s="19"/>
    </row>
    <row r="2878" spans="7:7" ht="12.75" customHeight="1" x14ac:dyDescent="0.25">
      <c r="G2878" s="19"/>
    </row>
    <row r="2879" spans="7:7" ht="12.75" customHeight="1" x14ac:dyDescent="0.25">
      <c r="G2879" s="19"/>
    </row>
    <row r="2880" spans="7:7" ht="12.75" customHeight="1" x14ac:dyDescent="0.25">
      <c r="G2880" s="19"/>
    </row>
    <row r="2881" spans="7:7" ht="12.75" customHeight="1" x14ac:dyDescent="0.25">
      <c r="G2881" s="19"/>
    </row>
    <row r="2882" spans="7:7" ht="12.75" customHeight="1" x14ac:dyDescent="0.25">
      <c r="G2882" s="19"/>
    </row>
    <row r="2883" spans="7:7" ht="12.75" customHeight="1" x14ac:dyDescent="0.25">
      <c r="G2883" s="19"/>
    </row>
    <row r="2884" spans="7:7" ht="12.75" customHeight="1" x14ac:dyDescent="0.25">
      <c r="G2884" s="19"/>
    </row>
    <row r="2885" spans="7:7" ht="12.75" customHeight="1" x14ac:dyDescent="0.25">
      <c r="G2885" s="19"/>
    </row>
    <row r="2886" spans="7:7" ht="12.75" customHeight="1" x14ac:dyDescent="0.25">
      <c r="G2886" s="19"/>
    </row>
    <row r="2887" spans="7:7" ht="12.75" customHeight="1" x14ac:dyDescent="0.25">
      <c r="G2887" s="19"/>
    </row>
    <row r="2888" spans="7:7" ht="12.75" customHeight="1" x14ac:dyDescent="0.25">
      <c r="G2888" s="19"/>
    </row>
    <row r="2889" spans="7:7" ht="12.75" customHeight="1" x14ac:dyDescent="0.25">
      <c r="G2889" s="19"/>
    </row>
    <row r="2890" spans="7:7" ht="12.75" customHeight="1" x14ac:dyDescent="0.25">
      <c r="G2890" s="19"/>
    </row>
    <row r="2891" spans="7:7" ht="12.75" customHeight="1" x14ac:dyDescent="0.25">
      <c r="G2891" s="19"/>
    </row>
    <row r="2892" spans="7:7" ht="12.75" customHeight="1" x14ac:dyDescent="0.25">
      <c r="G2892" s="19"/>
    </row>
    <row r="2893" spans="7:7" ht="12.75" customHeight="1" x14ac:dyDescent="0.25">
      <c r="G2893" s="19"/>
    </row>
    <row r="2894" spans="7:7" ht="12.75" customHeight="1" x14ac:dyDescent="0.25">
      <c r="G2894" s="19"/>
    </row>
    <row r="2895" spans="7:7" ht="12.75" customHeight="1" x14ac:dyDescent="0.25">
      <c r="G2895" s="19"/>
    </row>
    <row r="2896" spans="7:7" ht="12.75" customHeight="1" x14ac:dyDescent="0.25">
      <c r="G2896" s="19"/>
    </row>
    <row r="2897" spans="7:7" ht="12.75" customHeight="1" x14ac:dyDescent="0.25">
      <c r="G2897" s="19"/>
    </row>
    <row r="2898" spans="7:7" ht="12.75" customHeight="1" x14ac:dyDescent="0.25">
      <c r="G2898" s="19"/>
    </row>
    <row r="2899" spans="7:7" ht="12.75" customHeight="1" x14ac:dyDescent="0.25">
      <c r="G2899" s="19"/>
    </row>
    <row r="2900" spans="7:7" ht="12.75" customHeight="1" x14ac:dyDescent="0.25">
      <c r="G2900" s="19"/>
    </row>
    <row r="2901" spans="7:7" ht="12.75" customHeight="1" x14ac:dyDescent="0.25">
      <c r="G2901" s="19"/>
    </row>
    <row r="2902" spans="7:7" ht="12.75" customHeight="1" x14ac:dyDescent="0.25">
      <c r="G2902" s="19"/>
    </row>
    <row r="2903" spans="7:7" ht="12.75" customHeight="1" x14ac:dyDescent="0.25">
      <c r="G2903" s="19"/>
    </row>
    <row r="2904" spans="7:7" ht="12.75" customHeight="1" x14ac:dyDescent="0.25">
      <c r="G2904" s="19"/>
    </row>
    <row r="2905" spans="7:7" ht="12.75" customHeight="1" x14ac:dyDescent="0.25">
      <c r="G2905" s="19"/>
    </row>
    <row r="2906" spans="7:7" ht="12.75" customHeight="1" x14ac:dyDescent="0.25">
      <c r="G2906" s="19"/>
    </row>
    <row r="2907" spans="7:7" ht="12.75" customHeight="1" x14ac:dyDescent="0.25">
      <c r="G2907" s="19"/>
    </row>
    <row r="2908" spans="7:7" ht="12.75" customHeight="1" x14ac:dyDescent="0.25">
      <c r="G2908" s="19"/>
    </row>
    <row r="2909" spans="7:7" ht="12.75" customHeight="1" x14ac:dyDescent="0.25">
      <c r="G2909" s="19"/>
    </row>
    <row r="2910" spans="7:7" ht="12.75" customHeight="1" x14ac:dyDescent="0.25">
      <c r="G2910" s="19"/>
    </row>
    <row r="2911" spans="7:7" ht="12.75" customHeight="1" x14ac:dyDescent="0.25">
      <c r="G2911" s="19"/>
    </row>
    <row r="2912" spans="7:7" ht="12.75" customHeight="1" x14ac:dyDescent="0.25">
      <c r="G2912" s="19"/>
    </row>
    <row r="2913" spans="7:7" ht="12.75" customHeight="1" x14ac:dyDescent="0.25">
      <c r="G2913" s="19"/>
    </row>
    <row r="2914" spans="7:7" ht="12.75" customHeight="1" x14ac:dyDescent="0.25">
      <c r="G2914" s="19"/>
    </row>
    <row r="2915" spans="7:7" ht="12.75" customHeight="1" x14ac:dyDescent="0.25">
      <c r="G2915" s="19"/>
    </row>
    <row r="2916" spans="7:7" ht="12.75" customHeight="1" x14ac:dyDescent="0.25">
      <c r="G2916" s="19"/>
    </row>
    <row r="2917" spans="7:7" ht="12.75" customHeight="1" x14ac:dyDescent="0.25">
      <c r="G2917" s="19"/>
    </row>
    <row r="2918" spans="7:7" ht="12.75" customHeight="1" x14ac:dyDescent="0.25">
      <c r="G2918" s="19"/>
    </row>
    <row r="2919" spans="7:7" ht="12.75" customHeight="1" x14ac:dyDescent="0.25">
      <c r="G2919" s="19"/>
    </row>
    <row r="2920" spans="7:7" ht="12.75" customHeight="1" x14ac:dyDescent="0.25">
      <c r="G2920" s="19"/>
    </row>
    <row r="2921" spans="7:7" ht="12.75" customHeight="1" x14ac:dyDescent="0.25">
      <c r="G2921" s="19"/>
    </row>
    <row r="2922" spans="7:7" ht="12.75" customHeight="1" x14ac:dyDescent="0.25">
      <c r="G2922" s="19"/>
    </row>
    <row r="2923" spans="7:7" ht="12.75" customHeight="1" x14ac:dyDescent="0.25">
      <c r="G2923" s="19"/>
    </row>
    <row r="2924" spans="7:7" ht="12.75" customHeight="1" x14ac:dyDescent="0.25">
      <c r="G2924" s="19"/>
    </row>
    <row r="2925" spans="7:7" ht="12.75" customHeight="1" x14ac:dyDescent="0.25">
      <c r="G2925" s="19"/>
    </row>
    <row r="2926" spans="7:7" ht="12.75" customHeight="1" x14ac:dyDescent="0.25">
      <c r="G2926" s="19"/>
    </row>
    <row r="2927" spans="7:7" ht="12.75" customHeight="1" x14ac:dyDescent="0.25">
      <c r="G2927" s="19"/>
    </row>
    <row r="2928" spans="7:7" ht="12.75" customHeight="1" x14ac:dyDescent="0.25">
      <c r="G2928" s="19"/>
    </row>
    <row r="2929" spans="7:7" ht="12.75" customHeight="1" x14ac:dyDescent="0.25">
      <c r="G2929" s="19"/>
    </row>
    <row r="2930" spans="7:7" ht="12.75" customHeight="1" x14ac:dyDescent="0.25">
      <c r="G2930" s="19"/>
    </row>
    <row r="2931" spans="7:7" ht="12.75" customHeight="1" x14ac:dyDescent="0.25">
      <c r="G2931" s="19"/>
    </row>
    <row r="2932" spans="7:7" ht="12.75" customHeight="1" x14ac:dyDescent="0.25">
      <c r="G2932" s="19"/>
    </row>
    <row r="2933" spans="7:7" ht="12.75" customHeight="1" x14ac:dyDescent="0.25">
      <c r="G2933" s="19"/>
    </row>
    <row r="2934" spans="7:7" ht="12.75" customHeight="1" x14ac:dyDescent="0.25">
      <c r="G2934" s="19"/>
    </row>
    <row r="2935" spans="7:7" ht="12.75" customHeight="1" x14ac:dyDescent="0.25">
      <c r="G2935" s="19"/>
    </row>
    <row r="2936" spans="7:7" ht="12.75" customHeight="1" x14ac:dyDescent="0.25">
      <c r="G2936" s="19"/>
    </row>
    <row r="2937" spans="7:7" ht="12.75" customHeight="1" x14ac:dyDescent="0.25">
      <c r="G2937" s="19"/>
    </row>
    <row r="2938" spans="7:7" ht="12.75" customHeight="1" x14ac:dyDescent="0.25">
      <c r="G2938" s="19"/>
    </row>
    <row r="2939" spans="7:7" ht="12.75" customHeight="1" x14ac:dyDescent="0.25">
      <c r="G2939" s="19"/>
    </row>
    <row r="2940" spans="7:7" ht="12.75" customHeight="1" x14ac:dyDescent="0.25">
      <c r="G2940" s="19"/>
    </row>
    <row r="2941" spans="7:7" ht="12.75" customHeight="1" x14ac:dyDescent="0.25">
      <c r="G2941" s="19"/>
    </row>
    <row r="2942" spans="7:7" ht="12.75" customHeight="1" x14ac:dyDescent="0.25">
      <c r="G2942" s="19"/>
    </row>
    <row r="2943" spans="7:7" ht="12.75" customHeight="1" x14ac:dyDescent="0.25">
      <c r="G2943" s="19"/>
    </row>
    <row r="2944" spans="7:7" ht="12.75" customHeight="1" x14ac:dyDescent="0.25">
      <c r="G2944" s="19"/>
    </row>
    <row r="2945" spans="7:7" ht="12.75" customHeight="1" x14ac:dyDescent="0.25">
      <c r="G2945" s="19"/>
    </row>
    <row r="2946" spans="7:7" ht="12.75" customHeight="1" x14ac:dyDescent="0.25">
      <c r="G2946" s="19"/>
    </row>
    <row r="2947" spans="7:7" ht="12.75" customHeight="1" x14ac:dyDescent="0.25">
      <c r="G2947" s="19"/>
    </row>
    <row r="2948" spans="7:7" ht="12.75" customHeight="1" x14ac:dyDescent="0.25">
      <c r="G2948" s="19"/>
    </row>
    <row r="2949" spans="7:7" ht="12.75" customHeight="1" x14ac:dyDescent="0.25">
      <c r="G2949" s="19"/>
    </row>
    <row r="2950" spans="7:7" ht="12.75" customHeight="1" x14ac:dyDescent="0.25">
      <c r="G2950" s="19"/>
    </row>
    <row r="2951" spans="7:7" ht="12.75" customHeight="1" x14ac:dyDescent="0.25">
      <c r="G2951" s="19"/>
    </row>
    <row r="2952" spans="7:7" ht="12.75" customHeight="1" x14ac:dyDescent="0.25">
      <c r="G2952" s="19"/>
    </row>
    <row r="2953" spans="7:7" ht="12.75" customHeight="1" x14ac:dyDescent="0.25">
      <c r="G2953" s="19"/>
    </row>
    <row r="2954" spans="7:7" ht="12.75" customHeight="1" x14ac:dyDescent="0.25">
      <c r="G2954" s="19"/>
    </row>
    <row r="2955" spans="7:7" ht="12.75" customHeight="1" x14ac:dyDescent="0.25">
      <c r="G2955" s="19"/>
    </row>
    <row r="2956" spans="7:7" ht="12.75" customHeight="1" x14ac:dyDescent="0.25">
      <c r="G2956" s="19"/>
    </row>
    <row r="2957" spans="7:7" ht="12.75" customHeight="1" x14ac:dyDescent="0.25">
      <c r="G2957" s="19"/>
    </row>
    <row r="2958" spans="7:7" ht="12.75" customHeight="1" x14ac:dyDescent="0.25">
      <c r="G2958" s="19"/>
    </row>
    <row r="2959" spans="7:7" ht="12.75" customHeight="1" x14ac:dyDescent="0.25">
      <c r="G2959" s="19"/>
    </row>
    <row r="2960" spans="7:7" ht="12.75" customHeight="1" x14ac:dyDescent="0.25">
      <c r="G2960" s="19"/>
    </row>
    <row r="2961" spans="7:7" ht="12.75" customHeight="1" x14ac:dyDescent="0.25">
      <c r="G2961" s="19"/>
    </row>
    <row r="2962" spans="7:7" ht="12.75" customHeight="1" x14ac:dyDescent="0.25">
      <c r="G2962" s="19"/>
    </row>
    <row r="2963" spans="7:7" ht="12.75" customHeight="1" x14ac:dyDescent="0.25">
      <c r="G2963" s="19"/>
    </row>
    <row r="2964" spans="7:7" ht="12.75" customHeight="1" x14ac:dyDescent="0.25">
      <c r="G2964" s="19"/>
    </row>
    <row r="2965" spans="7:7" ht="12.75" customHeight="1" x14ac:dyDescent="0.25">
      <c r="G2965" s="19"/>
    </row>
    <row r="2966" spans="7:7" ht="12.75" customHeight="1" x14ac:dyDescent="0.25">
      <c r="G2966" s="19"/>
    </row>
    <row r="2967" spans="7:7" ht="12.75" customHeight="1" x14ac:dyDescent="0.25">
      <c r="G2967" s="19"/>
    </row>
    <row r="2968" spans="7:7" ht="12.75" customHeight="1" x14ac:dyDescent="0.25">
      <c r="G2968" s="19"/>
    </row>
    <row r="2969" spans="7:7" ht="12.75" customHeight="1" x14ac:dyDescent="0.25">
      <c r="G2969" s="19"/>
    </row>
    <row r="2970" spans="7:7" ht="12.75" customHeight="1" x14ac:dyDescent="0.25">
      <c r="G2970" s="19"/>
    </row>
    <row r="2971" spans="7:7" ht="12.75" customHeight="1" x14ac:dyDescent="0.25">
      <c r="G2971" s="19"/>
    </row>
    <row r="2972" spans="7:7" ht="12.75" customHeight="1" x14ac:dyDescent="0.25">
      <c r="G2972" s="19"/>
    </row>
    <row r="2973" spans="7:7" ht="12.75" customHeight="1" x14ac:dyDescent="0.25">
      <c r="G2973" s="19"/>
    </row>
    <row r="2974" spans="7:7" ht="12.75" customHeight="1" x14ac:dyDescent="0.25">
      <c r="G2974" s="19"/>
    </row>
    <row r="2975" spans="7:7" ht="12.75" customHeight="1" x14ac:dyDescent="0.25">
      <c r="G2975" s="19"/>
    </row>
    <row r="2976" spans="7:7" ht="12.75" customHeight="1" x14ac:dyDescent="0.25">
      <c r="G2976" s="19"/>
    </row>
    <row r="2977" spans="7:7" ht="12.75" customHeight="1" x14ac:dyDescent="0.25">
      <c r="G2977" s="19"/>
    </row>
    <row r="2978" spans="7:7" ht="12.75" customHeight="1" x14ac:dyDescent="0.25">
      <c r="G2978" s="19"/>
    </row>
    <row r="2979" spans="7:7" ht="12.75" customHeight="1" x14ac:dyDescent="0.25">
      <c r="G2979" s="19"/>
    </row>
    <row r="2980" spans="7:7" ht="12.75" customHeight="1" x14ac:dyDescent="0.25">
      <c r="G2980" s="19"/>
    </row>
    <row r="2981" spans="7:7" ht="12.75" customHeight="1" x14ac:dyDescent="0.25">
      <c r="G2981" s="19"/>
    </row>
    <row r="2982" spans="7:7" ht="12.75" customHeight="1" x14ac:dyDescent="0.25">
      <c r="G2982" s="19"/>
    </row>
    <row r="2983" spans="7:7" ht="12.75" customHeight="1" x14ac:dyDescent="0.25">
      <c r="G2983" s="19"/>
    </row>
    <row r="2984" spans="7:7" ht="12.75" customHeight="1" x14ac:dyDescent="0.25">
      <c r="G2984" s="19"/>
    </row>
    <row r="2985" spans="7:7" ht="12.75" customHeight="1" x14ac:dyDescent="0.25">
      <c r="G2985" s="19"/>
    </row>
    <row r="2986" spans="7:7" ht="12.75" customHeight="1" x14ac:dyDescent="0.25">
      <c r="G2986" s="19"/>
    </row>
    <row r="2987" spans="7:7" ht="12.75" customHeight="1" x14ac:dyDescent="0.25">
      <c r="G2987" s="19"/>
    </row>
    <row r="2988" spans="7:7" ht="12.75" customHeight="1" x14ac:dyDescent="0.25">
      <c r="G2988" s="19"/>
    </row>
    <row r="2989" spans="7:7" ht="12.75" customHeight="1" x14ac:dyDescent="0.25">
      <c r="G2989" s="19"/>
    </row>
    <row r="2990" spans="7:7" ht="12.75" customHeight="1" x14ac:dyDescent="0.25">
      <c r="G2990" s="19"/>
    </row>
    <row r="2991" spans="7:7" ht="12.75" customHeight="1" x14ac:dyDescent="0.25">
      <c r="G2991" s="19"/>
    </row>
    <row r="2992" spans="7:7" ht="12.75" customHeight="1" x14ac:dyDescent="0.25">
      <c r="G2992" s="19"/>
    </row>
    <row r="2993" spans="7:7" ht="12.75" customHeight="1" x14ac:dyDescent="0.25">
      <c r="G2993" s="19"/>
    </row>
    <row r="2994" spans="7:7" ht="12.75" customHeight="1" x14ac:dyDescent="0.25">
      <c r="G2994" s="19"/>
    </row>
    <row r="2995" spans="7:7" ht="12.75" customHeight="1" x14ac:dyDescent="0.25">
      <c r="G2995" s="19"/>
    </row>
    <row r="2996" spans="7:7" ht="12.75" customHeight="1" x14ac:dyDescent="0.25">
      <c r="G2996" s="19"/>
    </row>
    <row r="2997" spans="7:7" ht="12.75" customHeight="1" x14ac:dyDescent="0.25">
      <c r="G2997" s="19"/>
    </row>
    <row r="2998" spans="7:7" ht="12.75" customHeight="1" x14ac:dyDescent="0.25">
      <c r="G2998" s="19"/>
    </row>
    <row r="2999" spans="7:7" ht="12.75" customHeight="1" x14ac:dyDescent="0.25">
      <c r="G2999" s="19"/>
    </row>
    <row r="3000" spans="7:7" ht="12.75" customHeight="1" x14ac:dyDescent="0.25">
      <c r="G3000" s="19"/>
    </row>
    <row r="3001" spans="7:7" ht="12.75" customHeight="1" x14ac:dyDescent="0.25">
      <c r="G3001" s="19"/>
    </row>
    <row r="3002" spans="7:7" ht="12.75" customHeight="1" x14ac:dyDescent="0.25">
      <c r="G3002" s="19"/>
    </row>
    <row r="3003" spans="7:7" ht="12.75" customHeight="1" x14ac:dyDescent="0.25">
      <c r="G3003" s="19"/>
    </row>
    <row r="3004" spans="7:7" ht="12.75" customHeight="1" x14ac:dyDescent="0.25">
      <c r="G3004" s="19"/>
    </row>
    <row r="3005" spans="7:7" ht="12.75" customHeight="1" x14ac:dyDescent="0.25">
      <c r="G3005" s="19"/>
    </row>
    <row r="3006" spans="7:7" ht="12.75" customHeight="1" x14ac:dyDescent="0.25">
      <c r="G3006" s="19"/>
    </row>
    <row r="3007" spans="7:7" ht="12.75" customHeight="1" x14ac:dyDescent="0.25">
      <c r="G3007" s="19"/>
    </row>
    <row r="3008" spans="7:7" ht="12.75" customHeight="1" x14ac:dyDescent="0.25">
      <c r="G3008" s="19"/>
    </row>
    <row r="3009" spans="7:7" ht="12.75" customHeight="1" x14ac:dyDescent="0.25">
      <c r="G3009" s="19"/>
    </row>
    <row r="3010" spans="7:7" ht="12.75" customHeight="1" x14ac:dyDescent="0.25">
      <c r="G3010" s="19"/>
    </row>
    <row r="3011" spans="7:7" ht="12.75" customHeight="1" x14ac:dyDescent="0.25">
      <c r="G3011" s="19"/>
    </row>
    <row r="3012" spans="7:7" ht="12.75" customHeight="1" x14ac:dyDescent="0.25">
      <c r="G3012" s="19"/>
    </row>
    <row r="3013" spans="7:7" ht="12.75" customHeight="1" x14ac:dyDescent="0.25">
      <c r="G3013" s="19"/>
    </row>
    <row r="3014" spans="7:7" ht="12.75" customHeight="1" x14ac:dyDescent="0.25">
      <c r="G3014" s="19"/>
    </row>
    <row r="3015" spans="7:7" ht="12.75" customHeight="1" x14ac:dyDescent="0.25">
      <c r="G3015" s="19"/>
    </row>
    <row r="3016" spans="7:7" ht="12.75" customHeight="1" x14ac:dyDescent="0.25">
      <c r="G3016" s="19"/>
    </row>
    <row r="3017" spans="7:7" ht="12.75" customHeight="1" x14ac:dyDescent="0.25">
      <c r="G3017" s="19"/>
    </row>
    <row r="3018" spans="7:7" ht="12.75" customHeight="1" x14ac:dyDescent="0.25">
      <c r="G3018" s="19"/>
    </row>
    <row r="3019" spans="7:7" ht="12.75" customHeight="1" x14ac:dyDescent="0.25">
      <c r="G3019" s="19"/>
    </row>
    <row r="3020" spans="7:7" ht="12.75" customHeight="1" x14ac:dyDescent="0.25">
      <c r="G3020" s="19"/>
    </row>
    <row r="3021" spans="7:7" ht="12.75" customHeight="1" x14ac:dyDescent="0.25">
      <c r="G3021" s="19"/>
    </row>
    <row r="3022" spans="7:7" ht="12.75" customHeight="1" x14ac:dyDescent="0.25">
      <c r="G3022" s="19"/>
    </row>
    <row r="3023" spans="7:7" ht="12.75" customHeight="1" x14ac:dyDescent="0.25">
      <c r="G3023" s="19"/>
    </row>
    <row r="3024" spans="7:7" ht="12.75" customHeight="1" x14ac:dyDescent="0.25">
      <c r="G3024" s="19"/>
    </row>
    <row r="3025" spans="7:7" ht="12.75" customHeight="1" x14ac:dyDescent="0.25">
      <c r="G3025" s="19"/>
    </row>
    <row r="3026" spans="7:7" ht="12.75" customHeight="1" x14ac:dyDescent="0.25">
      <c r="G3026" s="19"/>
    </row>
    <row r="3027" spans="7:7" ht="12.75" customHeight="1" x14ac:dyDescent="0.25">
      <c r="G3027" s="19"/>
    </row>
    <row r="3028" spans="7:7" ht="12.75" customHeight="1" x14ac:dyDescent="0.25">
      <c r="G3028" s="19"/>
    </row>
    <row r="3029" spans="7:7" ht="12.75" customHeight="1" x14ac:dyDescent="0.25">
      <c r="G3029" s="19"/>
    </row>
    <row r="3030" spans="7:7" ht="12.75" customHeight="1" x14ac:dyDescent="0.25">
      <c r="G3030" s="19"/>
    </row>
    <row r="3031" spans="7:7" ht="12.75" customHeight="1" x14ac:dyDescent="0.25">
      <c r="G3031" s="19"/>
    </row>
    <row r="3032" spans="7:7" ht="12.75" customHeight="1" x14ac:dyDescent="0.25">
      <c r="G3032" s="19"/>
    </row>
    <row r="3033" spans="7:7" ht="12.75" customHeight="1" x14ac:dyDescent="0.25">
      <c r="G3033" s="19"/>
    </row>
    <row r="3034" spans="7:7" ht="12.75" customHeight="1" x14ac:dyDescent="0.25">
      <c r="G3034" s="19"/>
    </row>
    <row r="3035" spans="7:7" ht="12.75" customHeight="1" x14ac:dyDescent="0.25">
      <c r="G3035" s="19"/>
    </row>
    <row r="3036" spans="7:7" ht="12.75" customHeight="1" x14ac:dyDescent="0.25">
      <c r="G3036" s="19"/>
    </row>
    <row r="3037" spans="7:7" ht="12.75" customHeight="1" x14ac:dyDescent="0.25">
      <c r="G3037" s="19"/>
    </row>
    <row r="3038" spans="7:7" ht="12.75" customHeight="1" x14ac:dyDescent="0.25">
      <c r="G3038" s="19"/>
    </row>
    <row r="3039" spans="7:7" ht="12.75" customHeight="1" x14ac:dyDescent="0.25">
      <c r="G3039" s="19"/>
    </row>
    <row r="3040" spans="7:7" ht="12.75" customHeight="1" x14ac:dyDescent="0.25">
      <c r="G3040" s="19"/>
    </row>
    <row r="3041" spans="7:7" ht="12.75" customHeight="1" x14ac:dyDescent="0.25">
      <c r="G3041" s="19"/>
    </row>
    <row r="3042" spans="7:7" ht="12.75" customHeight="1" x14ac:dyDescent="0.25">
      <c r="G3042" s="19"/>
    </row>
    <row r="3043" spans="7:7" ht="12.75" customHeight="1" x14ac:dyDescent="0.25">
      <c r="G3043" s="19"/>
    </row>
    <row r="3044" spans="7:7" ht="12.75" customHeight="1" x14ac:dyDescent="0.25">
      <c r="G3044" s="19"/>
    </row>
    <row r="3045" spans="7:7" ht="12.75" customHeight="1" x14ac:dyDescent="0.25">
      <c r="G3045" s="19"/>
    </row>
    <row r="3046" spans="7:7" ht="12.75" customHeight="1" x14ac:dyDescent="0.25">
      <c r="G3046" s="19"/>
    </row>
    <row r="3047" spans="7:7" ht="12.75" customHeight="1" x14ac:dyDescent="0.25">
      <c r="G3047" s="19"/>
    </row>
    <row r="3048" spans="7:7" ht="12.75" customHeight="1" x14ac:dyDescent="0.25">
      <c r="G3048" s="19"/>
    </row>
    <row r="3049" spans="7:7" ht="12.75" customHeight="1" x14ac:dyDescent="0.25">
      <c r="G3049" s="19"/>
    </row>
    <row r="3050" spans="7:7" ht="12.75" customHeight="1" x14ac:dyDescent="0.25">
      <c r="G3050" s="19"/>
    </row>
    <row r="3051" spans="7:7" ht="12.75" customHeight="1" x14ac:dyDescent="0.25">
      <c r="G3051" s="19"/>
    </row>
    <row r="3052" spans="7:7" ht="12.75" customHeight="1" x14ac:dyDescent="0.25">
      <c r="G3052" s="19"/>
    </row>
    <row r="3053" spans="7:7" ht="12.75" customHeight="1" x14ac:dyDescent="0.25">
      <c r="G3053" s="19"/>
    </row>
    <row r="3054" spans="7:7" ht="12.75" customHeight="1" x14ac:dyDescent="0.25">
      <c r="G3054" s="19"/>
    </row>
    <row r="3055" spans="7:7" ht="12.75" customHeight="1" x14ac:dyDescent="0.25">
      <c r="G3055" s="19"/>
    </row>
    <row r="3056" spans="7:7" ht="12.75" customHeight="1" x14ac:dyDescent="0.25">
      <c r="G3056" s="19"/>
    </row>
    <row r="3057" spans="7:7" ht="12.75" customHeight="1" x14ac:dyDescent="0.25">
      <c r="G3057" s="19"/>
    </row>
    <row r="3058" spans="7:7" ht="12.75" customHeight="1" x14ac:dyDescent="0.25">
      <c r="G3058" s="19"/>
    </row>
    <row r="3059" spans="7:7" ht="12.75" customHeight="1" x14ac:dyDescent="0.25">
      <c r="G3059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Medini Kr. Bora [मेदिनी कुमार बोरा]</dc:creator>
  <cp:lastModifiedBy>Medini Kr. Bora [मेदिनी कुमार बोरा]</cp:lastModifiedBy>
  <dcterms:created xsi:type="dcterms:W3CDTF">2015-06-05T18:17:20Z</dcterms:created>
  <dcterms:modified xsi:type="dcterms:W3CDTF">2026-05-22T10:57:19Z</dcterms:modified>
</cp:coreProperties>
</file>